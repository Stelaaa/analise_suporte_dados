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Apuração" sheetId="2" state="visible" r:id="rId4"/>
    <sheet name="Qualidade - resumo" sheetId="3" state="visible" r:id="rId5"/>
    <sheet name="Qualidade - detalhe" sheetId="4" state="visible" r:id="rId6"/>
    <sheet name="Impacto" sheetId="5" state="visible" r:id="rId7"/>
    <sheet name="Resgates x saldo" sheetId="6" state="visible" r:id="rId8"/>
  </sheets>
  <definedNames>
    <definedName function="false" hidden="true" localSheetId="1" name="_xlnm._FilterDatabase" vbProcedure="false">Apuração!$A$4:$N$184</definedName>
    <definedName function="false" hidden="true" localSheetId="4" name="_xlnm._FilterDatabase" vbProcedure="false">Impacto!$A$3:$F$92</definedName>
    <definedName function="false" hidden="true" localSheetId="3" name="_xlnm._FilterDatabase" vbProcedure="false">'Qualidade - detalhe'!$A$3:$F$1156</definedName>
    <definedName function="false" hidden="true" localSheetId="2" name="_xlnm._FilterDatabase" vbProcedure="false">'Qualidade - resumo'!$A$3:$D$10</definedName>
    <definedName function="false" hidden="true" localSheetId="5" name="_xlnm._FilterDatabase" vbProcedure="false">'Resgates x saldo'!$A$3:$G$31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<sst xmlns="http://schemas.openxmlformats.org/spreadsheetml/2006/main" count="8039" uniqueCount="2596">
  <si>
    <t xml:space="preserve">Parâmetros da campanha</t>
  </si>
  <si>
    <t xml:space="preserve">Células em azul são editáveis. As fórmulas da aba Apuração leem daqui.</t>
  </si>
  <si>
    <t xml:space="preserve">Faixa</t>
  </si>
  <si>
    <t xml:space="preserve">Atingimento mínimo</t>
  </si>
  <si>
    <t xml:space="preserve">Pontos</t>
  </si>
  <si>
    <t xml:space="preserve">F0 - abaixo de 80%</t>
  </si>
  <si>
    <t xml:space="preserve">F1 - 80% a 99%</t>
  </si>
  <si>
    <t xml:space="preserve">F2 - 100% a 119%</t>
  </si>
  <si>
    <t xml:space="preserve">F3 - 120% ou mais</t>
  </si>
  <si>
    <t xml:space="preserve">Bônus positivação (pontos)</t>
  </si>
  <si>
    <t xml:space="preserve">Fonte: regulamento fictício da campanha Desafio Trimestral Q3/2026 (sql/01_parametros.sql).</t>
  </si>
  <si>
    <t xml:space="preserve">Apuração · Desafio Trimestral Q3/2026</t>
  </si>
  <si>
    <t xml:space="preserve">Colunas I–L são fórmulas do Excel; M traz o resultado do SQL; M confere as duas. Qualquer 'DIVERGE' precisa de análise.</t>
  </si>
  <si>
    <t xml:space="preserve">Matrícula</t>
  </si>
  <si>
    <t xml:space="preserve">Nome</t>
  </si>
  <si>
    <t xml:space="preserve">Regional</t>
  </si>
  <si>
    <t xml:space="preserve">Situação</t>
  </si>
  <si>
    <t xml:space="preserve">Meta faturamento (R$)</t>
  </si>
  <si>
    <t xml:space="preserve">Faturamento válido (R$)</t>
  </si>
  <si>
    <t xml:space="preserve">Meta positivação</t>
  </si>
  <si>
    <t xml:space="preserve">Clientes positivados</t>
  </si>
  <si>
    <t xml:space="preserve">Atingimento</t>
  </si>
  <si>
    <t xml:space="preserve">Pontos faturamento</t>
  </si>
  <si>
    <t xml:space="preserve">Pontos positivação</t>
  </si>
  <si>
    <t xml:space="preserve">Pontos total (Excel)</t>
  </si>
  <si>
    <t xml:space="preserve">Pontos total (SQL)</t>
  </si>
  <si>
    <t xml:space="preserve">Conferência</t>
  </si>
  <si>
    <t xml:space="preserve">HZ0001</t>
  </si>
  <si>
    <t xml:space="preserve">Úrsula Souza</t>
  </si>
  <si>
    <t xml:space="preserve">Sul</t>
  </si>
  <si>
    <t xml:space="preserve">Elegível</t>
  </si>
  <si>
    <t xml:space="preserve">HZ0002</t>
  </si>
  <si>
    <t xml:space="preserve">Yasmin Souza</t>
  </si>
  <si>
    <t xml:space="preserve">Centro-Oeste</t>
  </si>
  <si>
    <t xml:space="preserve">Inelegível - inativo</t>
  </si>
  <si>
    <t xml:space="preserve">HZ0003</t>
  </si>
  <si>
    <t xml:space="preserve">Carla Santos</t>
  </si>
  <si>
    <t xml:space="preserve">Norte</t>
  </si>
  <si>
    <t xml:space="preserve">HZ0004</t>
  </si>
  <si>
    <t xml:space="preserve">Wesley Carvalho</t>
  </si>
  <si>
    <t xml:space="preserve">Nordeste</t>
  </si>
  <si>
    <t xml:space="preserve">HZ0005</t>
  </si>
  <si>
    <t xml:space="preserve">Isabela Silva</t>
  </si>
  <si>
    <t xml:space="preserve">HZ0006</t>
  </si>
  <si>
    <t xml:space="preserve">Gabriela Pereira</t>
  </si>
  <si>
    <t xml:space="preserve">HZ0007</t>
  </si>
  <si>
    <t xml:space="preserve">Lucas Nascimento</t>
  </si>
  <si>
    <t xml:space="preserve">HZ0008</t>
  </si>
  <si>
    <t xml:space="preserve">Marina Souza</t>
  </si>
  <si>
    <t xml:space="preserve">HZ0009</t>
  </si>
  <si>
    <t xml:space="preserve">Wesley Souza</t>
  </si>
  <si>
    <t xml:space="preserve">Sudeste</t>
  </si>
  <si>
    <t xml:space="preserve">HZ0010</t>
  </si>
  <si>
    <t xml:space="preserve">Hugo Souza</t>
  </si>
  <si>
    <t xml:space="preserve">HZ0011</t>
  </si>
  <si>
    <t xml:space="preserve">Lucas Oliveira</t>
  </si>
  <si>
    <t xml:space="preserve">HZ0012</t>
  </si>
  <si>
    <t xml:space="preserve">HZ0013</t>
  </si>
  <si>
    <t xml:space="preserve">Hugo Oliveira</t>
  </si>
  <si>
    <t xml:space="preserve">HZ0014</t>
  </si>
  <si>
    <t xml:space="preserve">Úrsula Melo</t>
  </si>
  <si>
    <t xml:space="preserve">HZ0015</t>
  </si>
  <si>
    <t xml:space="preserve">Bruno Santos</t>
  </si>
  <si>
    <t xml:space="preserve">HZ0016</t>
  </si>
  <si>
    <t xml:space="preserve">Gabriela Nascimento</t>
  </si>
  <si>
    <t xml:space="preserve">HZ0017</t>
  </si>
  <si>
    <t xml:space="preserve">Úrsula Rodrigues</t>
  </si>
  <si>
    <t xml:space="preserve">HZ0018</t>
  </si>
  <si>
    <t xml:space="preserve">Rafael Almeida</t>
  </si>
  <si>
    <t xml:space="preserve">HZ0019</t>
  </si>
  <si>
    <t xml:space="preserve">Marina Pereira</t>
  </si>
  <si>
    <t xml:space="preserve">HZ0020</t>
  </si>
  <si>
    <t xml:space="preserve">Bruno Souza</t>
  </si>
  <si>
    <t xml:space="preserve">HZ0021</t>
  </si>
  <si>
    <t xml:space="preserve">Marina Costa</t>
  </si>
  <si>
    <t xml:space="preserve">HZ0022</t>
  </si>
  <si>
    <t xml:space="preserve">Rafael Silva</t>
  </si>
  <si>
    <t xml:space="preserve">HZ0023</t>
  </si>
  <si>
    <t xml:space="preserve">Karen Souza</t>
  </si>
  <si>
    <t xml:space="preserve">HZ0024</t>
  </si>
  <si>
    <t xml:space="preserve">Yasmin Melo</t>
  </si>
  <si>
    <t xml:space="preserve">HZ0025</t>
  </si>
  <si>
    <t xml:space="preserve">Diego Carvalho</t>
  </si>
  <si>
    <t xml:space="preserve">HZ0026</t>
  </si>
  <si>
    <t xml:space="preserve">Fábio Almeida</t>
  </si>
  <si>
    <t xml:space="preserve">HZ0027</t>
  </si>
  <si>
    <t xml:space="preserve">Diego Pereira</t>
  </si>
  <si>
    <t xml:space="preserve">HZ0028</t>
  </si>
  <si>
    <t xml:space="preserve">Sabrina Souza</t>
  </si>
  <si>
    <t xml:space="preserve">Pendente - sem meta</t>
  </si>
  <si>
    <t xml:space="preserve">HZ0029</t>
  </si>
  <si>
    <t xml:space="preserve">Rafael Oliveira</t>
  </si>
  <si>
    <t xml:space="preserve">HZ0030</t>
  </si>
  <si>
    <t xml:space="preserve">Queila Nascimento</t>
  </si>
  <si>
    <t xml:space="preserve">HZ0031</t>
  </si>
  <si>
    <t xml:space="preserve">Wesley Santos</t>
  </si>
  <si>
    <t xml:space="preserve">HZ0032</t>
  </si>
  <si>
    <t xml:space="preserve">Queila Rodrigues</t>
  </si>
  <si>
    <t xml:space="preserve">HZ0033</t>
  </si>
  <si>
    <t xml:space="preserve">Ana Nascimento</t>
  </si>
  <si>
    <t xml:space="preserve">HZ0034</t>
  </si>
  <si>
    <t xml:space="preserve">HZ0035</t>
  </si>
  <si>
    <t xml:space="preserve">HZ0036</t>
  </si>
  <si>
    <t xml:space="preserve">Gabriela Almeida</t>
  </si>
  <si>
    <t xml:space="preserve">HZ0037</t>
  </si>
  <si>
    <t xml:space="preserve">Paulo Costa</t>
  </si>
  <si>
    <t xml:space="preserve">HZ0038</t>
  </si>
  <si>
    <t xml:space="preserve">Lucas Costa</t>
  </si>
  <si>
    <t xml:space="preserve">HZ0039</t>
  </si>
  <si>
    <t xml:space="preserve">HZ0040</t>
  </si>
  <si>
    <t xml:space="preserve">Diego Santos</t>
  </si>
  <si>
    <t xml:space="preserve">HZ0041</t>
  </si>
  <si>
    <t xml:space="preserve">Nicolas Oliveira</t>
  </si>
  <si>
    <t xml:space="preserve">HZ0042</t>
  </si>
  <si>
    <t xml:space="preserve">Carla Rodrigues</t>
  </si>
  <si>
    <t xml:space="preserve">HZ0043</t>
  </si>
  <si>
    <t xml:space="preserve">HZ0044</t>
  </si>
  <si>
    <t xml:space="preserve">Paulo Santos</t>
  </si>
  <si>
    <t xml:space="preserve">HZ0045</t>
  </si>
  <si>
    <t xml:space="preserve">Marina Lima</t>
  </si>
  <si>
    <t xml:space="preserve">HZ0046</t>
  </si>
  <si>
    <t xml:space="preserve">Yasmin Almeida</t>
  </si>
  <si>
    <t xml:space="preserve">HZ0047</t>
  </si>
  <si>
    <t xml:space="preserve">Bruno Nascimento</t>
  </si>
  <si>
    <t xml:space="preserve">HZ0048</t>
  </si>
  <si>
    <t xml:space="preserve">Sabrina Rodrigues</t>
  </si>
  <si>
    <t xml:space="preserve">HZ0049</t>
  </si>
  <si>
    <t xml:space="preserve">Queila Souza</t>
  </si>
  <si>
    <t xml:space="preserve">HZ0050</t>
  </si>
  <si>
    <t xml:space="preserve">Hugo Costa</t>
  </si>
  <si>
    <t xml:space="preserve">HZ0051</t>
  </si>
  <si>
    <t xml:space="preserve">HZ0052</t>
  </si>
  <si>
    <t xml:space="preserve">Isabela Santos</t>
  </si>
  <si>
    <t xml:space="preserve">HZ0053</t>
  </si>
  <si>
    <t xml:space="preserve">Vinícius Carvalho</t>
  </si>
  <si>
    <t xml:space="preserve">HZ0054</t>
  </si>
  <si>
    <t xml:space="preserve">Carla Silva</t>
  </si>
  <si>
    <t xml:space="preserve">HZ0055</t>
  </si>
  <si>
    <t xml:space="preserve">HZ0056</t>
  </si>
  <si>
    <t xml:space="preserve">Hugo Pereira</t>
  </si>
  <si>
    <t xml:space="preserve">HZ0057</t>
  </si>
  <si>
    <t xml:space="preserve">Wesley Lima</t>
  </si>
  <si>
    <t xml:space="preserve">HZ0058</t>
  </si>
  <si>
    <t xml:space="preserve">Rafael Lima</t>
  </si>
  <si>
    <t xml:space="preserve">HZ0059</t>
  </si>
  <si>
    <t xml:space="preserve">Diego Melo</t>
  </si>
  <si>
    <t xml:space="preserve">HZ0060</t>
  </si>
  <si>
    <t xml:space="preserve">Gabriela Melo</t>
  </si>
  <si>
    <t xml:space="preserve">HZ0061</t>
  </si>
  <si>
    <t xml:space="preserve">HZ0062</t>
  </si>
  <si>
    <t xml:space="preserve">Karen Oliveira</t>
  </si>
  <si>
    <t xml:space="preserve">HZ0063</t>
  </si>
  <si>
    <t xml:space="preserve">Nicolas Almeida</t>
  </si>
  <si>
    <t xml:space="preserve">HZ0064</t>
  </si>
  <si>
    <t xml:space="preserve">Wesley Oliveira</t>
  </si>
  <si>
    <t xml:space="preserve">HZ0065</t>
  </si>
  <si>
    <t xml:space="preserve">Elisa Costa</t>
  </si>
  <si>
    <t xml:space="preserve">HZ0066</t>
  </si>
  <si>
    <t xml:space="preserve">Bruno Pereira</t>
  </si>
  <si>
    <t xml:space="preserve">HZ0067</t>
  </si>
  <si>
    <t xml:space="preserve">Rafael Costa</t>
  </si>
  <si>
    <t xml:space="preserve">HZ0068</t>
  </si>
  <si>
    <t xml:space="preserve">Fábio Costa</t>
  </si>
  <si>
    <t xml:space="preserve">HZ0069</t>
  </si>
  <si>
    <t xml:space="preserve">Nicolas Carvalho</t>
  </si>
  <si>
    <t xml:space="preserve">HZ0070</t>
  </si>
  <si>
    <t xml:space="preserve">Diego Costa</t>
  </si>
  <si>
    <t xml:space="preserve">HZ0071</t>
  </si>
  <si>
    <t xml:space="preserve">Olívia Pereira</t>
  </si>
  <si>
    <t xml:space="preserve">HZ0072</t>
  </si>
  <si>
    <t xml:space="preserve">Gabriela Costa</t>
  </si>
  <si>
    <t xml:space="preserve">HZ0073</t>
  </si>
  <si>
    <t xml:space="preserve">Isabela Pereira</t>
  </si>
  <si>
    <t xml:space="preserve">HZ0074</t>
  </si>
  <si>
    <t xml:space="preserve">Ana Souza</t>
  </si>
  <si>
    <t xml:space="preserve">HZ0075</t>
  </si>
  <si>
    <t xml:space="preserve">Tiago Costa</t>
  </si>
  <si>
    <t xml:space="preserve">HZ0076</t>
  </si>
  <si>
    <t xml:space="preserve">HZ0077</t>
  </si>
  <si>
    <t xml:space="preserve">Wesley Costa</t>
  </si>
  <si>
    <t xml:space="preserve">HZ0078</t>
  </si>
  <si>
    <t xml:space="preserve">HZ0079</t>
  </si>
  <si>
    <t xml:space="preserve">Vinícius Pereira</t>
  </si>
  <si>
    <t xml:space="preserve">HZ0080</t>
  </si>
  <si>
    <t xml:space="preserve">João Almeida</t>
  </si>
  <si>
    <t xml:space="preserve">HZ0081</t>
  </si>
  <si>
    <t xml:space="preserve">HZ0082</t>
  </si>
  <si>
    <t xml:space="preserve">Marina Carvalho</t>
  </si>
  <si>
    <t xml:space="preserve">HZ0083</t>
  </si>
  <si>
    <t xml:space="preserve">Ana Lima</t>
  </si>
  <si>
    <t xml:space="preserve">HZ0084</t>
  </si>
  <si>
    <t xml:space="preserve">Tiago Carvalho</t>
  </si>
  <si>
    <t xml:space="preserve">HZ0085</t>
  </si>
  <si>
    <t xml:space="preserve">HZ0086</t>
  </si>
  <si>
    <t xml:space="preserve">HZ0087</t>
  </si>
  <si>
    <t xml:space="preserve">Hugo Carvalho</t>
  </si>
  <si>
    <t xml:space="preserve">HZ0088</t>
  </si>
  <si>
    <t xml:space="preserve">HZ0089</t>
  </si>
  <si>
    <t xml:space="preserve">Úrsula Nascimento</t>
  </si>
  <si>
    <t xml:space="preserve">HZ0090</t>
  </si>
  <si>
    <t xml:space="preserve">Elisa Carvalho</t>
  </si>
  <si>
    <t xml:space="preserve">HZ0091</t>
  </si>
  <si>
    <t xml:space="preserve">Wesley Almeida</t>
  </si>
  <si>
    <t xml:space="preserve">HZ0092</t>
  </si>
  <si>
    <t xml:space="preserve">Diego Rodrigues</t>
  </si>
  <si>
    <t xml:space="preserve">HZ0093</t>
  </si>
  <si>
    <t xml:space="preserve">Tiago Pereira</t>
  </si>
  <si>
    <t xml:space="preserve">HZ0094</t>
  </si>
  <si>
    <t xml:space="preserve">Rafael Rodrigues</t>
  </si>
  <si>
    <t xml:space="preserve">HZ0095</t>
  </si>
  <si>
    <t xml:space="preserve">HZ0096</t>
  </si>
  <si>
    <t xml:space="preserve">Isabela Rodrigues</t>
  </si>
  <si>
    <t xml:space="preserve">HZ0097</t>
  </si>
  <si>
    <t xml:space="preserve">Karen Almeida</t>
  </si>
  <si>
    <t xml:space="preserve">HZ0098</t>
  </si>
  <si>
    <t xml:space="preserve">HZ0099</t>
  </si>
  <si>
    <t xml:space="preserve">HZ0100</t>
  </si>
  <si>
    <t xml:space="preserve">Marina Nascimento</t>
  </si>
  <si>
    <t xml:space="preserve">HZ0101</t>
  </si>
  <si>
    <t xml:space="preserve">Lucas Lima</t>
  </si>
  <si>
    <t xml:space="preserve">HZ0102</t>
  </si>
  <si>
    <t xml:space="preserve">Rafael Nascimento</t>
  </si>
  <si>
    <t xml:space="preserve">HZ0103</t>
  </si>
  <si>
    <t xml:space="preserve">Paulo Silva</t>
  </si>
  <si>
    <t xml:space="preserve">HZ0104</t>
  </si>
  <si>
    <t xml:space="preserve">Olívia Oliveira</t>
  </si>
  <si>
    <t xml:space="preserve">HZ0105</t>
  </si>
  <si>
    <t xml:space="preserve">Sabrina Nascimento</t>
  </si>
  <si>
    <t xml:space="preserve">HZ0106</t>
  </si>
  <si>
    <t xml:space="preserve">HZ0107</t>
  </si>
  <si>
    <t xml:space="preserve">HZ0108</t>
  </si>
  <si>
    <t xml:space="preserve">Nicolas Lima</t>
  </si>
  <si>
    <t xml:space="preserve">HZ0109</t>
  </si>
  <si>
    <t xml:space="preserve">HZ0110</t>
  </si>
  <si>
    <t xml:space="preserve">Hugo Santos</t>
  </si>
  <si>
    <t xml:space="preserve">HZ0111</t>
  </si>
  <si>
    <t xml:space="preserve">Paulo Carvalho</t>
  </si>
  <si>
    <t xml:space="preserve">HZ0112</t>
  </si>
  <si>
    <t xml:space="preserve">HZ0113</t>
  </si>
  <si>
    <t xml:space="preserve">Fábio Lima</t>
  </si>
  <si>
    <t xml:space="preserve">HZ0114</t>
  </si>
  <si>
    <t xml:space="preserve">Sabrina Carvalho</t>
  </si>
  <si>
    <t xml:space="preserve">HZ0115</t>
  </si>
  <si>
    <t xml:space="preserve">HZ0116</t>
  </si>
  <si>
    <t xml:space="preserve">Tiago Souza</t>
  </si>
  <si>
    <t xml:space="preserve">HZ0117</t>
  </si>
  <si>
    <t xml:space="preserve">HZ0118</t>
  </si>
  <si>
    <t xml:space="preserve">Nicolas Rodrigues</t>
  </si>
  <si>
    <t xml:space="preserve">HZ0119</t>
  </si>
  <si>
    <t xml:space="preserve">Olívia Melo</t>
  </si>
  <si>
    <t xml:space="preserve">HZ0120</t>
  </si>
  <si>
    <t xml:space="preserve">Úrsula Lima</t>
  </si>
  <si>
    <t xml:space="preserve">HZ0121</t>
  </si>
  <si>
    <t xml:space="preserve">Yasmin Nascimento</t>
  </si>
  <si>
    <t xml:space="preserve">HZ0122</t>
  </si>
  <si>
    <t xml:space="preserve">Carla Lima</t>
  </si>
  <si>
    <t xml:space="preserve">HZ0123</t>
  </si>
  <si>
    <t xml:space="preserve">Vinícius Costa</t>
  </si>
  <si>
    <t xml:space="preserve">HZ0124</t>
  </si>
  <si>
    <t xml:space="preserve">Fábio Rodrigues</t>
  </si>
  <si>
    <t xml:space="preserve">HZ0125</t>
  </si>
  <si>
    <t xml:space="preserve">Tiago Melo</t>
  </si>
  <si>
    <t xml:space="preserve">HZ0126</t>
  </si>
  <si>
    <t xml:space="preserve">Gabriela Souza</t>
  </si>
  <si>
    <t xml:space="preserve">HZ0127</t>
  </si>
  <si>
    <t xml:space="preserve">Hugo Melo</t>
  </si>
  <si>
    <t xml:space="preserve">HZ0128</t>
  </si>
  <si>
    <t xml:space="preserve">HZ0129</t>
  </si>
  <si>
    <t xml:space="preserve">Sabrina Pereira</t>
  </si>
  <si>
    <t xml:space="preserve">HZ0130</t>
  </si>
  <si>
    <t xml:space="preserve">HZ0131</t>
  </si>
  <si>
    <t xml:space="preserve">HZ0132</t>
  </si>
  <si>
    <t xml:space="preserve">Rafael Melo</t>
  </si>
  <si>
    <t xml:space="preserve">HZ0133</t>
  </si>
  <si>
    <t xml:space="preserve">Isabela Melo</t>
  </si>
  <si>
    <t xml:space="preserve">HZ0134</t>
  </si>
  <si>
    <t xml:space="preserve">Gabriela Lima</t>
  </si>
  <si>
    <t xml:space="preserve">HZ0135</t>
  </si>
  <si>
    <t xml:space="preserve">HZ0136</t>
  </si>
  <si>
    <t xml:space="preserve">HZ0137</t>
  </si>
  <si>
    <t xml:space="preserve">Sabrina Lima</t>
  </si>
  <si>
    <t xml:space="preserve">HZ0138</t>
  </si>
  <si>
    <t xml:space="preserve">Bruno Lima</t>
  </si>
  <si>
    <t xml:space="preserve">HZ0139</t>
  </si>
  <si>
    <t xml:space="preserve">Carla Nascimento</t>
  </si>
  <si>
    <t xml:space="preserve">HZ0140</t>
  </si>
  <si>
    <t xml:space="preserve">João Souza</t>
  </si>
  <si>
    <t xml:space="preserve">HZ0141</t>
  </si>
  <si>
    <t xml:space="preserve">Tiago Nascimento</t>
  </si>
  <si>
    <t xml:space="preserve">HZ0142</t>
  </si>
  <si>
    <t xml:space="preserve">Olívia Lima</t>
  </si>
  <si>
    <t xml:space="preserve">HZ0143</t>
  </si>
  <si>
    <t xml:space="preserve">HZ0144</t>
  </si>
  <si>
    <t xml:space="preserve">Carla Oliveira</t>
  </si>
  <si>
    <t xml:space="preserve">HZ0145</t>
  </si>
  <si>
    <t xml:space="preserve">Ana Costa</t>
  </si>
  <si>
    <t xml:space="preserve">HZ0146</t>
  </si>
  <si>
    <t xml:space="preserve">Hugo Lima</t>
  </si>
  <si>
    <t xml:space="preserve">HZ0147</t>
  </si>
  <si>
    <t xml:space="preserve">Isabela Carvalho</t>
  </si>
  <si>
    <t xml:space="preserve">HZ0148</t>
  </si>
  <si>
    <t xml:space="preserve">HZ0149</t>
  </si>
  <si>
    <t xml:space="preserve">HZ0150</t>
  </si>
  <si>
    <t xml:space="preserve">HZ0151</t>
  </si>
  <si>
    <t xml:space="preserve">Paulo Rodrigues</t>
  </si>
  <si>
    <t xml:space="preserve">HZ0152</t>
  </si>
  <si>
    <t xml:space="preserve">Yasmin Pereira</t>
  </si>
  <si>
    <t xml:space="preserve">HZ0153</t>
  </si>
  <si>
    <t xml:space="preserve">Vinícius Nascimento</t>
  </si>
  <si>
    <t xml:space="preserve">HZ0154</t>
  </si>
  <si>
    <t xml:space="preserve">HZ0155</t>
  </si>
  <si>
    <t xml:space="preserve">Sabrina Costa</t>
  </si>
  <si>
    <t xml:space="preserve">HZ0156</t>
  </si>
  <si>
    <t xml:space="preserve">Karen Pereira</t>
  </si>
  <si>
    <t xml:space="preserve">HZ0157</t>
  </si>
  <si>
    <t xml:space="preserve">Paulo Lima</t>
  </si>
  <si>
    <t xml:space="preserve">HZ0158</t>
  </si>
  <si>
    <t xml:space="preserve">Karen Lima</t>
  </si>
  <si>
    <t xml:space="preserve">HZ0159</t>
  </si>
  <si>
    <t xml:space="preserve">Ana Carvalho</t>
  </si>
  <si>
    <t xml:space="preserve">HZ0160</t>
  </si>
  <si>
    <t xml:space="preserve">Queila Pereira</t>
  </si>
  <si>
    <t xml:space="preserve">HZ0161</t>
  </si>
  <si>
    <t xml:space="preserve">HZ0162</t>
  </si>
  <si>
    <t xml:space="preserve">Wesley Rodrigues</t>
  </si>
  <si>
    <t xml:space="preserve">HZ0163</t>
  </si>
  <si>
    <t xml:space="preserve">HZ0164</t>
  </si>
  <si>
    <t xml:space="preserve">HZ0165</t>
  </si>
  <si>
    <t xml:space="preserve">HZ0166</t>
  </si>
  <si>
    <t xml:space="preserve">Hugo Rodrigues</t>
  </si>
  <si>
    <t xml:space="preserve">HZ0167</t>
  </si>
  <si>
    <t xml:space="preserve">Tiago Almeida</t>
  </si>
  <si>
    <t xml:space="preserve">HZ0168</t>
  </si>
  <si>
    <t xml:space="preserve">Nicolas Pereira</t>
  </si>
  <si>
    <t xml:space="preserve">HZ0169</t>
  </si>
  <si>
    <t xml:space="preserve">João Nascimento</t>
  </si>
  <si>
    <t xml:space="preserve">HZ0170</t>
  </si>
  <si>
    <t xml:space="preserve">Paulo Pereira</t>
  </si>
  <si>
    <t xml:space="preserve">HZ0171</t>
  </si>
  <si>
    <t xml:space="preserve">Karen Santos</t>
  </si>
  <si>
    <t xml:space="preserve">HZ0172</t>
  </si>
  <si>
    <t xml:space="preserve">Nicolas Silva</t>
  </si>
  <si>
    <t xml:space="preserve">HZ0173</t>
  </si>
  <si>
    <t xml:space="preserve">HZ0174</t>
  </si>
  <si>
    <t xml:space="preserve">HZ0175</t>
  </si>
  <si>
    <t xml:space="preserve">Olívia Silva</t>
  </si>
  <si>
    <t xml:space="preserve">HZ0176</t>
  </si>
  <si>
    <t xml:space="preserve">HZ0177</t>
  </si>
  <si>
    <t xml:space="preserve">Vinícius Almeida</t>
  </si>
  <si>
    <t xml:space="preserve">HZ0178</t>
  </si>
  <si>
    <t xml:space="preserve">HZ0179</t>
  </si>
  <si>
    <t xml:space="preserve">HZ0180</t>
  </si>
  <si>
    <t xml:space="preserve">Totais</t>
  </si>
  <si>
    <t xml:space="preserve">Regras de qualidade · ocorrências por regra</t>
  </si>
  <si>
    <t xml:space="preserve">Bloqueia = registro sai da apuração · Alerta = corrigido automaticamente</t>
  </si>
  <si>
    <t xml:space="preserve">regra</t>
  </si>
  <si>
    <t xml:space="preserve">severidade</t>
  </si>
  <si>
    <t xml:space="preserve">tabela</t>
  </si>
  <si>
    <t xml:space="preserve">ocorrencias</t>
  </si>
  <si>
    <t xml:space="preserve">DQ01 Venda duplicada</t>
  </si>
  <si>
    <t xml:space="preserve">Bloqueia</t>
  </si>
  <si>
    <t xml:space="preserve">vendas</t>
  </si>
  <si>
    <t xml:space="preserve">DQ02 Matrícula não cadastrada</t>
  </si>
  <si>
    <t xml:space="preserve">DQ03 Venda fora do período</t>
  </si>
  <si>
    <t xml:space="preserve">DQ04 Valor inválido</t>
  </si>
  <si>
    <t xml:space="preserve">DQ05 Participante sem meta</t>
  </si>
  <si>
    <t xml:space="preserve">metas</t>
  </si>
  <si>
    <t xml:space="preserve">DQ06 Matrícula fora do padrão</t>
  </si>
  <si>
    <t xml:space="preserve">Alerta</t>
  </si>
  <si>
    <t xml:space="preserve">participantes</t>
  </si>
  <si>
    <t xml:space="preserve">DQ07 Resgate acima do saldo</t>
  </si>
  <si>
    <t xml:space="preserve">resgates</t>
  </si>
  <si>
    <t xml:space="preserve">Ocorrências de qualidade (evidência por registro)</t>
  </si>
  <si>
    <t xml:space="preserve">id_registro</t>
  </si>
  <si>
    <t xml:space="preserve">matricula</t>
  </si>
  <si>
    <t xml:space="preserve">detalhe</t>
  </si>
  <si>
    <t xml:space="preserve">V009056</t>
  </si>
  <si>
    <t xml:space="preserve">Duplicata de V000017 no LOTE-05</t>
  </si>
  <si>
    <t xml:space="preserve">V009057</t>
  </si>
  <si>
    <t xml:space="preserve">Duplicata de V000030 no LOTE-05</t>
  </si>
  <si>
    <t xml:space="preserve">V009058</t>
  </si>
  <si>
    <t xml:space="preserve">Duplicata de V000073 no LOTE-05</t>
  </si>
  <si>
    <t xml:space="preserve">V009059</t>
  </si>
  <si>
    <t xml:space="preserve">Duplicata de V000092 no LOTE-05</t>
  </si>
  <si>
    <t xml:space="preserve">V009060</t>
  </si>
  <si>
    <t xml:space="preserve">Duplicata de V000112 no LOTE-05</t>
  </si>
  <si>
    <t xml:space="preserve">V009061</t>
  </si>
  <si>
    <t xml:space="preserve">Duplicata de V000118 no LOTE-05</t>
  </si>
  <si>
    <t xml:space="preserve">V009062</t>
  </si>
  <si>
    <t xml:space="preserve">Duplicata de V000119 no LOTE-05</t>
  </si>
  <si>
    <t xml:space="preserve">V009063</t>
  </si>
  <si>
    <t xml:space="preserve">Duplicata de V000161 no LOTE-05</t>
  </si>
  <si>
    <t xml:space="preserve">V009064</t>
  </si>
  <si>
    <t xml:space="preserve">Duplicata de V000173 no LOTE-05</t>
  </si>
  <si>
    <t xml:space="preserve">V009065</t>
  </si>
  <si>
    <t xml:space="preserve">Duplicata de V000175 no LOTE-05</t>
  </si>
  <si>
    <t xml:space="preserve">V009066</t>
  </si>
  <si>
    <t xml:space="preserve">Duplicata de V000183 no LOTE-05</t>
  </si>
  <si>
    <t xml:space="preserve">V009067</t>
  </si>
  <si>
    <t xml:space="preserve">Duplicata de V000190 no LOTE-05</t>
  </si>
  <si>
    <t xml:space="preserve">V009068</t>
  </si>
  <si>
    <t xml:space="preserve">Duplicata de V000229 no LOTE-05</t>
  </si>
  <si>
    <t xml:space="preserve">V009069</t>
  </si>
  <si>
    <t xml:space="preserve">Duplicata de V000264 no LOTE-05</t>
  </si>
  <si>
    <t xml:space="preserve">V009070</t>
  </si>
  <si>
    <t xml:space="preserve">Duplicata de V000278 no LOTE-05</t>
  </si>
  <si>
    <t xml:space="preserve">V009071</t>
  </si>
  <si>
    <t xml:space="preserve">Duplicata de V000284 no LOTE-05</t>
  </si>
  <si>
    <t xml:space="preserve">V009072</t>
  </si>
  <si>
    <t xml:space="preserve">Duplicata de V000292 no LOTE-05</t>
  </si>
  <si>
    <t xml:space="preserve">V009073</t>
  </si>
  <si>
    <t xml:space="preserve">Duplicata de V000308 no LOTE-05</t>
  </si>
  <si>
    <t xml:space="preserve">V009074</t>
  </si>
  <si>
    <t xml:space="preserve">Duplicata de V000327 no LOTE-05</t>
  </si>
  <si>
    <t xml:space="preserve">V009075</t>
  </si>
  <si>
    <t xml:space="preserve">Duplicata de V000331 no LOTE-05</t>
  </si>
  <si>
    <t xml:space="preserve">V009076</t>
  </si>
  <si>
    <t xml:space="preserve">Duplicata de V000334 no LOTE-05</t>
  </si>
  <si>
    <t xml:space="preserve">V009077</t>
  </si>
  <si>
    <t xml:space="preserve">Duplicata de V000342 no LOTE-05</t>
  </si>
  <si>
    <t xml:space="preserve">V009078</t>
  </si>
  <si>
    <t xml:space="preserve">Duplicata de V000351 no LOTE-05</t>
  </si>
  <si>
    <t xml:space="preserve">V009079</t>
  </si>
  <si>
    <t xml:space="preserve">Duplicata de V000392 no LOTE-05</t>
  </si>
  <si>
    <t xml:space="preserve">V009080</t>
  </si>
  <si>
    <t xml:space="preserve">Duplicata de V000397 no LOTE-05</t>
  </si>
  <si>
    <t xml:space="preserve">V009081</t>
  </si>
  <si>
    <t xml:space="preserve">Duplicata de V000408 no LOTE-05</t>
  </si>
  <si>
    <t xml:space="preserve">V009082</t>
  </si>
  <si>
    <t xml:space="preserve">Duplicata de V000435 no LOTE-05</t>
  </si>
  <si>
    <t xml:space="preserve">V009083</t>
  </si>
  <si>
    <t xml:space="preserve">Duplicata de V000449 no LOTE-05</t>
  </si>
  <si>
    <t xml:space="preserve">V009084</t>
  </si>
  <si>
    <t xml:space="preserve">Duplicata de V000450 no LOTE-05</t>
  </si>
  <si>
    <t xml:space="preserve">V009085</t>
  </si>
  <si>
    <t xml:space="preserve">Duplicata de V000463 no LOTE-05</t>
  </si>
  <si>
    <t xml:space="preserve">V009086</t>
  </si>
  <si>
    <t xml:space="preserve">Duplicata de V000466 no LOTE-05</t>
  </si>
  <si>
    <t xml:space="preserve">V009087</t>
  </si>
  <si>
    <t xml:space="preserve">Duplicata de V000474 no LOTE-05</t>
  </si>
  <si>
    <t xml:space="preserve">V009088</t>
  </si>
  <si>
    <t xml:space="preserve">Duplicata de V000492 no LOTE-05</t>
  </si>
  <si>
    <t xml:space="preserve">V009089</t>
  </si>
  <si>
    <t xml:space="preserve">Duplicata de V000494 no LOTE-05</t>
  </si>
  <si>
    <t xml:space="preserve">V009090</t>
  </si>
  <si>
    <t xml:space="preserve">Duplicata de V000495 no LOTE-05</t>
  </si>
  <si>
    <t xml:space="preserve">V009091</t>
  </si>
  <si>
    <t xml:space="preserve">Duplicata de V000496 no LOTE-05</t>
  </si>
  <si>
    <t xml:space="preserve">V009092</t>
  </si>
  <si>
    <t xml:space="preserve">Duplicata de V000500 no LOTE-05</t>
  </si>
  <si>
    <t xml:space="preserve">V009093</t>
  </si>
  <si>
    <t xml:space="preserve">Duplicata de V000501 no LOTE-05</t>
  </si>
  <si>
    <t xml:space="preserve">V009094</t>
  </si>
  <si>
    <t xml:space="preserve">Duplicata de V000518 no LOTE-05</t>
  </si>
  <si>
    <t xml:space="preserve">V009095</t>
  </si>
  <si>
    <t xml:space="preserve">Duplicata de V000526 no LOTE-05</t>
  </si>
  <si>
    <t xml:space="preserve">V009096</t>
  </si>
  <si>
    <t xml:space="preserve">Duplicata de V000529 no LOTE-05</t>
  </si>
  <si>
    <t xml:space="preserve">V009097</t>
  </si>
  <si>
    <t xml:space="preserve">Duplicata de V000535 no LOTE-05</t>
  </si>
  <si>
    <t xml:space="preserve">V009098</t>
  </si>
  <si>
    <t xml:space="preserve">Duplicata de V000552 no LOTE-05</t>
  </si>
  <si>
    <t xml:space="preserve">V009099</t>
  </si>
  <si>
    <t xml:space="preserve">Duplicata de V000556 no LOTE-05</t>
  </si>
  <si>
    <t xml:space="preserve">V009100</t>
  </si>
  <si>
    <t xml:space="preserve">Duplicata de V000570 no LOTE-05</t>
  </si>
  <si>
    <t xml:space="preserve">V009101</t>
  </si>
  <si>
    <t xml:space="preserve">Duplicata de V000594 no LOTE-05</t>
  </si>
  <si>
    <t xml:space="preserve">V009102</t>
  </si>
  <si>
    <t xml:space="preserve">Duplicata de V000611 no LOTE-05</t>
  </si>
  <si>
    <t xml:space="preserve">V009103</t>
  </si>
  <si>
    <t xml:space="preserve">Duplicata de V000616 no LOTE-05</t>
  </si>
  <si>
    <t xml:space="preserve">V009104</t>
  </si>
  <si>
    <t xml:space="preserve">Duplicata de V000618 no LOTE-05</t>
  </si>
  <si>
    <t xml:space="preserve">V009105</t>
  </si>
  <si>
    <t xml:space="preserve">Duplicata de V000630 no LOTE-05</t>
  </si>
  <si>
    <t xml:space="preserve">V009106</t>
  </si>
  <si>
    <t xml:space="preserve">Duplicata de V000643 no LOTE-05</t>
  </si>
  <si>
    <t xml:space="preserve">V009107</t>
  </si>
  <si>
    <t xml:space="preserve">Duplicata de V000648 no LOTE-05</t>
  </si>
  <si>
    <t xml:space="preserve">V009108</t>
  </si>
  <si>
    <t xml:space="preserve">Duplicata de V000655 no LOTE-05</t>
  </si>
  <si>
    <t xml:space="preserve">V009109</t>
  </si>
  <si>
    <t xml:space="preserve">Duplicata de V000661 no LOTE-05</t>
  </si>
  <si>
    <t xml:space="preserve">V009110</t>
  </si>
  <si>
    <t xml:space="preserve">Duplicata de V000666 no LOTE-05</t>
  </si>
  <si>
    <t xml:space="preserve">V009111</t>
  </si>
  <si>
    <t xml:space="preserve">Duplicata de V000667 no LOTE-05</t>
  </si>
  <si>
    <t xml:space="preserve">V009112</t>
  </si>
  <si>
    <t xml:space="preserve">Duplicata de V000677 no LOTE-05</t>
  </si>
  <si>
    <t xml:space="preserve">V009113</t>
  </si>
  <si>
    <t xml:space="preserve">Duplicata de V000705 no LOTE-05</t>
  </si>
  <si>
    <t xml:space="preserve">V009114</t>
  </si>
  <si>
    <t xml:space="preserve">Duplicata de V000718 no LOTE-05</t>
  </si>
  <si>
    <t xml:space="preserve">V009115</t>
  </si>
  <si>
    <t xml:space="preserve">Duplicata de V000728 no LOTE-05</t>
  </si>
  <si>
    <t xml:space="preserve">V009116</t>
  </si>
  <si>
    <t xml:space="preserve">Duplicata de V000734 no LOTE-05</t>
  </si>
  <si>
    <t xml:space="preserve">V009117</t>
  </si>
  <si>
    <t xml:space="preserve">Duplicata de V000745 no LOTE-05</t>
  </si>
  <si>
    <t xml:space="preserve">V009118</t>
  </si>
  <si>
    <t xml:space="preserve">Duplicata de V000747 no LOTE-05</t>
  </si>
  <si>
    <t xml:space="preserve">V009119</t>
  </si>
  <si>
    <t xml:space="preserve">Duplicata de V000753 no LOTE-05</t>
  </si>
  <si>
    <t xml:space="preserve">V009120</t>
  </si>
  <si>
    <t xml:space="preserve">Duplicata de V000801 no LOTE-05</t>
  </si>
  <si>
    <t xml:space="preserve">V009121</t>
  </si>
  <si>
    <t xml:space="preserve">Duplicata de V000821 no LOTE-05</t>
  </si>
  <si>
    <t xml:space="preserve">V009122</t>
  </si>
  <si>
    <t xml:space="preserve">Duplicata de V000824 no LOTE-05</t>
  </si>
  <si>
    <t xml:space="preserve">V009123</t>
  </si>
  <si>
    <t xml:space="preserve">Duplicata de V000840 no LOTE-05</t>
  </si>
  <si>
    <t xml:space="preserve">V009124</t>
  </si>
  <si>
    <t xml:space="preserve">Duplicata de V000855 no LOTE-05</t>
  </si>
  <si>
    <t xml:space="preserve">V009125</t>
  </si>
  <si>
    <t xml:space="preserve">Duplicata de V000860 no LOTE-05</t>
  </si>
  <si>
    <t xml:space="preserve">V009126</t>
  </si>
  <si>
    <t xml:space="preserve">Duplicata de V000885 no LOTE-05</t>
  </si>
  <si>
    <t xml:space="preserve">V009127</t>
  </si>
  <si>
    <t xml:space="preserve">Duplicata de V000902 no LOTE-05</t>
  </si>
  <si>
    <t xml:space="preserve">V009128</t>
  </si>
  <si>
    <t xml:space="preserve">Duplicata de V000919 no LOTE-05</t>
  </si>
  <si>
    <t xml:space="preserve">V009129</t>
  </si>
  <si>
    <t xml:space="preserve">Duplicata de V000921 no LOTE-05</t>
  </si>
  <si>
    <t xml:space="preserve">V009130</t>
  </si>
  <si>
    <t xml:space="preserve">Duplicata de V000945 no LOTE-05</t>
  </si>
  <si>
    <t xml:space="preserve">V009131</t>
  </si>
  <si>
    <t xml:space="preserve">Duplicata de V000950 no LOTE-05</t>
  </si>
  <si>
    <t xml:space="preserve">V009132</t>
  </si>
  <si>
    <t xml:space="preserve">Duplicata de V000956 no LOTE-05</t>
  </si>
  <si>
    <t xml:space="preserve">V009133</t>
  </si>
  <si>
    <t xml:space="preserve">Duplicata de V000964 no LOTE-05</t>
  </si>
  <si>
    <t xml:space="preserve">V009134</t>
  </si>
  <si>
    <t xml:space="preserve">Duplicata de V000969 no LOTE-05</t>
  </si>
  <si>
    <t xml:space="preserve">V009135</t>
  </si>
  <si>
    <t xml:space="preserve">Duplicata de V000990 no LOTE-05</t>
  </si>
  <si>
    <t xml:space="preserve">V009136</t>
  </si>
  <si>
    <t xml:space="preserve">Duplicata de V001028 no LOTE-05</t>
  </si>
  <si>
    <t xml:space="preserve">V009137</t>
  </si>
  <si>
    <t xml:space="preserve">Duplicata de V001034 no LOTE-05</t>
  </si>
  <si>
    <t xml:space="preserve">V009138</t>
  </si>
  <si>
    <t xml:space="preserve">Duplicata de V001037 no LOTE-05</t>
  </si>
  <si>
    <t xml:space="preserve">V009139</t>
  </si>
  <si>
    <t xml:space="preserve">Duplicata de V001063 no LOTE-05</t>
  </si>
  <si>
    <t xml:space="preserve">V009140</t>
  </si>
  <si>
    <t xml:space="preserve">Duplicata de V001065 no LOTE-05</t>
  </si>
  <si>
    <t xml:space="preserve">V009141</t>
  </si>
  <si>
    <t xml:space="preserve">Duplicata de V001071 no LOTE-05</t>
  </si>
  <si>
    <t xml:space="preserve">V009142</t>
  </si>
  <si>
    <t xml:space="preserve">Duplicata de V001085 no LOTE-05</t>
  </si>
  <si>
    <t xml:space="preserve">V009143</t>
  </si>
  <si>
    <t xml:space="preserve">Duplicata de V001116 no LOTE-05</t>
  </si>
  <si>
    <t xml:space="preserve">V009144</t>
  </si>
  <si>
    <t xml:space="preserve">Duplicata de V001120 no LOTE-05</t>
  </si>
  <si>
    <t xml:space="preserve">V009145</t>
  </si>
  <si>
    <t xml:space="preserve">Duplicata de V001137 no LOTE-05</t>
  </si>
  <si>
    <t xml:space="preserve">V009146</t>
  </si>
  <si>
    <t xml:space="preserve">Duplicata de V001142 no LOTE-05</t>
  </si>
  <si>
    <t xml:space="preserve">V009147</t>
  </si>
  <si>
    <t xml:space="preserve">Duplicata de V001158 no LOTE-05</t>
  </si>
  <si>
    <t xml:space="preserve">V009148</t>
  </si>
  <si>
    <t xml:space="preserve">Duplicata de V001172 no LOTE-05</t>
  </si>
  <si>
    <t xml:space="preserve">V009149</t>
  </si>
  <si>
    <t xml:space="preserve">Duplicata de V001179 no LOTE-05</t>
  </si>
  <si>
    <t xml:space="preserve">V009150</t>
  </si>
  <si>
    <t xml:space="preserve">Duplicata de V001189 no LOTE-05</t>
  </si>
  <si>
    <t xml:space="preserve">V009151</t>
  </si>
  <si>
    <t xml:space="preserve">Duplicata de V001198 no LOTE-05</t>
  </si>
  <si>
    <t xml:space="preserve">V009152</t>
  </si>
  <si>
    <t xml:space="preserve">Duplicata de V001206 no LOTE-05</t>
  </si>
  <si>
    <t xml:space="preserve">V009153</t>
  </si>
  <si>
    <t xml:space="preserve">Duplicata de V001224 no LOTE-05</t>
  </si>
  <si>
    <t xml:space="preserve">V009154</t>
  </si>
  <si>
    <t xml:space="preserve">Duplicata de V001263 no LOTE-05</t>
  </si>
  <si>
    <t xml:space="preserve">V009155</t>
  </si>
  <si>
    <t xml:space="preserve">Duplicata de V001270 no LOTE-05</t>
  </si>
  <si>
    <t xml:space="preserve">V009156</t>
  </si>
  <si>
    <t xml:space="preserve">Duplicata de V001272 no LOTE-05</t>
  </si>
  <si>
    <t xml:space="preserve">V009157</t>
  </si>
  <si>
    <t xml:space="preserve">Duplicata de V001280 no LOTE-05</t>
  </si>
  <si>
    <t xml:space="preserve">V009158</t>
  </si>
  <si>
    <t xml:space="preserve">Duplicata de V001301 no LOTE-05</t>
  </si>
  <si>
    <t xml:space="preserve">V009159</t>
  </si>
  <si>
    <t xml:space="preserve">Duplicata de V001312 no LOTE-05</t>
  </si>
  <si>
    <t xml:space="preserve">V009160</t>
  </si>
  <si>
    <t xml:space="preserve">Duplicata de V001339 no LOTE-05</t>
  </si>
  <si>
    <t xml:space="preserve">V009161</t>
  </si>
  <si>
    <t xml:space="preserve">Duplicata de V001364 no LOTE-05</t>
  </si>
  <si>
    <t xml:space="preserve">V009162</t>
  </si>
  <si>
    <t xml:space="preserve">Duplicata de V001414 no LOTE-05</t>
  </si>
  <si>
    <t xml:space="preserve">V009163</t>
  </si>
  <si>
    <t xml:space="preserve">Duplicata de V001415 no LOTE-05</t>
  </si>
  <si>
    <t xml:space="preserve">V009164</t>
  </si>
  <si>
    <t xml:space="preserve">Duplicata de V001428 no LOTE-05</t>
  </si>
  <si>
    <t xml:space="preserve">V009165</t>
  </si>
  <si>
    <t xml:space="preserve">Duplicata de V001440 no LOTE-05</t>
  </si>
  <si>
    <t xml:space="preserve">V009166</t>
  </si>
  <si>
    <t xml:space="preserve">Duplicata de V001441 no LOTE-05</t>
  </si>
  <si>
    <t xml:space="preserve">V009167</t>
  </si>
  <si>
    <t xml:space="preserve">Duplicata de V001450 no LOTE-05</t>
  </si>
  <si>
    <t xml:space="preserve">V009168</t>
  </si>
  <si>
    <t xml:space="preserve">Duplicata de V001451 no LOTE-05</t>
  </si>
  <si>
    <t xml:space="preserve">V009169</t>
  </si>
  <si>
    <t xml:space="preserve">Duplicata de V001459 no LOTE-05</t>
  </si>
  <si>
    <t xml:space="preserve">V009170</t>
  </si>
  <si>
    <t xml:space="preserve">Duplicata de V001461 no LOTE-05</t>
  </si>
  <si>
    <t xml:space="preserve">V009171</t>
  </si>
  <si>
    <t xml:space="preserve">Duplicata de V001463 no LOTE-05</t>
  </si>
  <si>
    <t xml:space="preserve">V009172</t>
  </si>
  <si>
    <t xml:space="preserve">Duplicata de V001464 no LOTE-05</t>
  </si>
  <si>
    <t xml:space="preserve">V009173</t>
  </si>
  <si>
    <t xml:space="preserve">Duplicata de V001475 no LOTE-05</t>
  </si>
  <si>
    <t xml:space="preserve">V009174</t>
  </si>
  <si>
    <t xml:space="preserve">Duplicata de V001484 no LOTE-05</t>
  </si>
  <si>
    <t xml:space="preserve">V009175</t>
  </si>
  <si>
    <t xml:space="preserve">Duplicata de V001486 no LOTE-05</t>
  </si>
  <si>
    <t xml:space="preserve">V009176</t>
  </si>
  <si>
    <t xml:space="preserve">Duplicata de V001508 no LOTE-05</t>
  </si>
  <si>
    <t xml:space="preserve">V009177</t>
  </si>
  <si>
    <t xml:space="preserve">Duplicata de V001534 no LOTE-05</t>
  </si>
  <si>
    <t xml:space="preserve">V009178</t>
  </si>
  <si>
    <t xml:space="preserve">Duplicata de V001537 no LOTE-05</t>
  </si>
  <si>
    <t xml:space="preserve">V009179</t>
  </si>
  <si>
    <t xml:space="preserve">Duplicata de V001557 no LOTE-05</t>
  </si>
  <si>
    <t xml:space="preserve">V009180</t>
  </si>
  <si>
    <t xml:space="preserve">Duplicata de V001569 no LOTE-05</t>
  </si>
  <si>
    <t xml:space="preserve">V009181</t>
  </si>
  <si>
    <t xml:space="preserve">Duplicata de V001574 no LOTE-05</t>
  </si>
  <si>
    <t xml:space="preserve">V009182</t>
  </si>
  <si>
    <t xml:space="preserve">Duplicata de V001585 no LOTE-05</t>
  </si>
  <si>
    <t xml:space="preserve">V009183</t>
  </si>
  <si>
    <t xml:space="preserve">Duplicata de V001586 no LOTE-05</t>
  </si>
  <si>
    <t xml:space="preserve">V009184</t>
  </si>
  <si>
    <t xml:space="preserve">Duplicata de V001587 no LOTE-05</t>
  </si>
  <si>
    <t xml:space="preserve">V009185</t>
  </si>
  <si>
    <t xml:space="preserve">Duplicata de V001588 no LOTE-05</t>
  </si>
  <si>
    <t xml:space="preserve">V009186</t>
  </si>
  <si>
    <t xml:space="preserve">Duplicata de V001595 no LOTE-05</t>
  </si>
  <si>
    <t xml:space="preserve">V009187</t>
  </si>
  <si>
    <t xml:space="preserve">Duplicata de V001599 no LOTE-05</t>
  </si>
  <si>
    <t xml:space="preserve">V009188</t>
  </si>
  <si>
    <t xml:space="preserve">Duplicata de V001624 no LOTE-05</t>
  </si>
  <si>
    <t xml:space="preserve">V009189</t>
  </si>
  <si>
    <t xml:space="preserve">Duplicata de V001662 no LOTE-05</t>
  </si>
  <si>
    <t xml:space="preserve">V009190</t>
  </si>
  <si>
    <t xml:space="preserve">Duplicata de V001666 no LOTE-05</t>
  </si>
  <si>
    <t xml:space="preserve">V009191</t>
  </si>
  <si>
    <t xml:space="preserve">Duplicata de V001677 no LOTE-05</t>
  </si>
  <si>
    <t xml:space="preserve">V009192</t>
  </si>
  <si>
    <t xml:space="preserve">Duplicata de V001702 no LOTE-05</t>
  </si>
  <si>
    <t xml:space="preserve">V009193</t>
  </si>
  <si>
    <t xml:space="preserve">Duplicata de V001703 no LOTE-05</t>
  </si>
  <si>
    <t xml:space="preserve">V009194</t>
  </si>
  <si>
    <t xml:space="preserve">Duplicata de V001721 no LOTE-05</t>
  </si>
  <si>
    <t xml:space="preserve">V009195</t>
  </si>
  <si>
    <t xml:space="preserve">Duplicata de V001728 no LOTE-05</t>
  </si>
  <si>
    <t xml:space="preserve">V009196</t>
  </si>
  <si>
    <t xml:space="preserve">Duplicata de V001732 no LOTE-05</t>
  </si>
  <si>
    <t xml:space="preserve">V009197</t>
  </si>
  <si>
    <t xml:space="preserve">Duplicata de V001744 no LOTE-05</t>
  </si>
  <si>
    <t xml:space="preserve">V009198</t>
  </si>
  <si>
    <t xml:space="preserve">Duplicata de V001748 no LOTE-05</t>
  </si>
  <si>
    <t xml:space="preserve">V009199</t>
  </si>
  <si>
    <t xml:space="preserve">Duplicata de V001768 no LOTE-05</t>
  </si>
  <si>
    <t xml:space="preserve">V009200</t>
  </si>
  <si>
    <t xml:space="preserve">Duplicata de V001801 no LOTE-05</t>
  </si>
  <si>
    <t xml:space="preserve">V009201</t>
  </si>
  <si>
    <t xml:space="preserve">Duplicata de V001816 no LOTE-05</t>
  </si>
  <si>
    <t xml:space="preserve">V009202</t>
  </si>
  <si>
    <t xml:space="preserve">Duplicata de V001819 no LOTE-05</t>
  </si>
  <si>
    <t xml:space="preserve">V009203</t>
  </si>
  <si>
    <t xml:space="preserve">Duplicata de V001847 no LOTE-05</t>
  </si>
  <si>
    <t xml:space="preserve">V009204</t>
  </si>
  <si>
    <t xml:space="preserve">Duplicata de V001854 no LOTE-05</t>
  </si>
  <si>
    <t xml:space="preserve">V009205</t>
  </si>
  <si>
    <t xml:space="preserve">Duplicata de V001893 no LOTE-05</t>
  </si>
  <si>
    <t xml:space="preserve">V009206</t>
  </si>
  <si>
    <t xml:space="preserve">Duplicata de V001910 no LOTE-05</t>
  </si>
  <si>
    <t xml:space="preserve">V009207</t>
  </si>
  <si>
    <t xml:space="preserve">Duplicata de V001911 no LOTE-05</t>
  </si>
  <si>
    <t xml:space="preserve">V009208</t>
  </si>
  <si>
    <t xml:space="preserve">Duplicata de V001916 no LOTE-05</t>
  </si>
  <si>
    <t xml:space="preserve">V009209</t>
  </si>
  <si>
    <t xml:space="preserve">Duplicata de V001956 no LOTE-05</t>
  </si>
  <si>
    <t xml:space="preserve">V009210</t>
  </si>
  <si>
    <t xml:space="preserve">Duplicata de V001960 no LOTE-05</t>
  </si>
  <si>
    <t xml:space="preserve">V009211</t>
  </si>
  <si>
    <t xml:space="preserve">Duplicata de V001973 no LOTE-05</t>
  </si>
  <si>
    <t xml:space="preserve">V009212</t>
  </si>
  <si>
    <t xml:space="preserve">Duplicata de V002045 no LOTE-05</t>
  </si>
  <si>
    <t xml:space="preserve">V009213</t>
  </si>
  <si>
    <t xml:space="preserve">Duplicata de V002052 no LOTE-05</t>
  </si>
  <si>
    <t xml:space="preserve">V009214</t>
  </si>
  <si>
    <t xml:space="preserve">Duplicata de V002055 no LOTE-05</t>
  </si>
  <si>
    <t xml:space="preserve">V009215</t>
  </si>
  <si>
    <t xml:space="preserve">Duplicata de V002059 no LOTE-05</t>
  </si>
  <si>
    <t xml:space="preserve">V009216</t>
  </si>
  <si>
    <t xml:space="preserve">Duplicata de V002060 no LOTE-05</t>
  </si>
  <si>
    <t xml:space="preserve">V009217</t>
  </si>
  <si>
    <t xml:space="preserve">Duplicata de V002063 no LOTE-05</t>
  </si>
  <si>
    <t xml:space="preserve">V009218</t>
  </si>
  <si>
    <t xml:space="preserve">Duplicata de V002065 no LOTE-05</t>
  </si>
  <si>
    <t xml:space="preserve">V009219</t>
  </si>
  <si>
    <t xml:space="preserve">Duplicata de V002074 no LOTE-05</t>
  </si>
  <si>
    <t xml:space="preserve">V009220</t>
  </si>
  <si>
    <t xml:space="preserve">Duplicata de V002082 no LOTE-05</t>
  </si>
  <si>
    <t xml:space="preserve">V009221</t>
  </si>
  <si>
    <t xml:space="preserve">Duplicata de V002087 no LOTE-05</t>
  </si>
  <si>
    <t xml:space="preserve">V009222</t>
  </si>
  <si>
    <t xml:space="preserve">Duplicata de V002098 no LOTE-05</t>
  </si>
  <si>
    <t xml:space="preserve">V009223</t>
  </si>
  <si>
    <t xml:space="preserve">Duplicata de V002130 no LOTE-05</t>
  </si>
  <si>
    <t xml:space="preserve">V009224</t>
  </si>
  <si>
    <t xml:space="preserve">Duplicata de V002147 no LOTE-05</t>
  </si>
  <si>
    <t xml:space="preserve">V009225</t>
  </si>
  <si>
    <t xml:space="preserve">Duplicata de V002167 no LOTE-05</t>
  </si>
  <si>
    <t xml:space="preserve">V009226</t>
  </si>
  <si>
    <t xml:space="preserve">Duplicata de V002176 no LOTE-05</t>
  </si>
  <si>
    <t xml:space="preserve">V009227</t>
  </si>
  <si>
    <t xml:space="preserve">Duplicata de V002188 no LOTE-05</t>
  </si>
  <si>
    <t xml:space="preserve">V009228</t>
  </si>
  <si>
    <t xml:space="preserve">Duplicata de V002221 no LOTE-05</t>
  </si>
  <si>
    <t xml:space="preserve">V009229</t>
  </si>
  <si>
    <t xml:space="preserve">Duplicata de V002240 no LOTE-05</t>
  </si>
  <si>
    <t xml:space="preserve">V009230</t>
  </si>
  <si>
    <t xml:space="preserve">Duplicata de V002242 no LOTE-05</t>
  </si>
  <si>
    <t xml:space="preserve">V009231</t>
  </si>
  <si>
    <t xml:space="preserve">Duplicata de V002253 no LOTE-05</t>
  </si>
  <si>
    <t xml:space="preserve">V009232</t>
  </si>
  <si>
    <t xml:space="preserve">Duplicata de V002255 no LOTE-05</t>
  </si>
  <si>
    <t xml:space="preserve">V009233</t>
  </si>
  <si>
    <t xml:space="preserve">Duplicata de V002267 no LOTE-05</t>
  </si>
  <si>
    <t xml:space="preserve">V009234</t>
  </si>
  <si>
    <t xml:space="preserve">Duplicata de V002278 no LOTE-05</t>
  </si>
  <si>
    <t xml:space="preserve">V009235</t>
  </si>
  <si>
    <t xml:space="preserve">Duplicata de V002285 no LOTE-05</t>
  </si>
  <si>
    <t xml:space="preserve">V009236</t>
  </si>
  <si>
    <t xml:space="preserve">Duplicata de V002294 no LOTE-05</t>
  </si>
  <si>
    <t xml:space="preserve">V009237</t>
  </si>
  <si>
    <t xml:space="preserve">Duplicata de V002300 no LOTE-05</t>
  </si>
  <si>
    <t xml:space="preserve">V009238</t>
  </si>
  <si>
    <t xml:space="preserve">Duplicata de V002304 no LOTE-05</t>
  </si>
  <si>
    <t xml:space="preserve">V009239</t>
  </si>
  <si>
    <t xml:space="preserve">Duplicata de V002305 no LOTE-05</t>
  </si>
  <si>
    <t xml:space="preserve">V009240</t>
  </si>
  <si>
    <t xml:space="preserve">Duplicata de V002315 no LOTE-05</t>
  </si>
  <si>
    <t xml:space="preserve">V009241</t>
  </si>
  <si>
    <t xml:space="preserve">Duplicata de V002324 no LOTE-05</t>
  </si>
  <si>
    <t xml:space="preserve">V009242</t>
  </si>
  <si>
    <t xml:space="preserve">Duplicata de V002348 no LOTE-05</t>
  </si>
  <si>
    <t xml:space="preserve">V009243</t>
  </si>
  <si>
    <t xml:space="preserve">Duplicata de V002360 no LOTE-05</t>
  </si>
  <si>
    <t xml:space="preserve">V009244</t>
  </si>
  <si>
    <t xml:space="preserve">Duplicata de V002366 no LOTE-05</t>
  </si>
  <si>
    <t xml:space="preserve">V009245</t>
  </si>
  <si>
    <t xml:space="preserve">Duplicata de V002373 no LOTE-05</t>
  </si>
  <si>
    <t xml:space="preserve">V009246</t>
  </si>
  <si>
    <t xml:space="preserve">Duplicata de V002376 no LOTE-05</t>
  </si>
  <si>
    <t xml:space="preserve">V009247</t>
  </si>
  <si>
    <t xml:space="preserve">Duplicata de V002387 no LOTE-05</t>
  </si>
  <si>
    <t xml:space="preserve">V009248</t>
  </si>
  <si>
    <t xml:space="preserve">Duplicata de V002388 no LOTE-05</t>
  </si>
  <si>
    <t xml:space="preserve">V009249</t>
  </si>
  <si>
    <t xml:space="preserve">Duplicata de V002400 no LOTE-05</t>
  </si>
  <si>
    <t xml:space="preserve">V009250</t>
  </si>
  <si>
    <t xml:space="preserve">Duplicata de V002414 no LOTE-05</t>
  </si>
  <si>
    <t xml:space="preserve">V009251</t>
  </si>
  <si>
    <t xml:space="preserve">Duplicata de V002419 no LOTE-05</t>
  </si>
  <si>
    <t xml:space="preserve">V009252</t>
  </si>
  <si>
    <t xml:space="preserve">Duplicata de V002441 no LOTE-05</t>
  </si>
  <si>
    <t xml:space="preserve">V009253</t>
  </si>
  <si>
    <t xml:space="preserve">Duplicata de V002475 no LOTE-05</t>
  </si>
  <si>
    <t xml:space="preserve">V009254</t>
  </si>
  <si>
    <t xml:space="preserve">Duplicata de V002477 no LOTE-05</t>
  </si>
  <si>
    <t xml:space="preserve">V009255</t>
  </si>
  <si>
    <t xml:space="preserve">Duplicata de V002484 no LOTE-05</t>
  </si>
  <si>
    <t xml:space="preserve">V009256</t>
  </si>
  <si>
    <t xml:space="preserve">Duplicata de V002487 no LOTE-05</t>
  </si>
  <si>
    <t xml:space="preserve">V009257</t>
  </si>
  <si>
    <t xml:space="preserve">Duplicata de V002488 no LOTE-05</t>
  </si>
  <si>
    <t xml:space="preserve">V009258</t>
  </si>
  <si>
    <t xml:space="preserve">Duplicata de V002506 no LOTE-05</t>
  </si>
  <si>
    <t xml:space="preserve">V009259</t>
  </si>
  <si>
    <t xml:space="preserve">Duplicata de V002516 no LOTE-05</t>
  </si>
  <si>
    <t xml:space="preserve">V009260</t>
  </si>
  <si>
    <t xml:space="preserve">Duplicata de V002523 no LOTE-05</t>
  </si>
  <si>
    <t xml:space="preserve">V009261</t>
  </si>
  <si>
    <t xml:space="preserve">Duplicata de V002535 no LOTE-05</t>
  </si>
  <si>
    <t xml:space="preserve">V009262</t>
  </si>
  <si>
    <t xml:space="preserve">Duplicata de V002538 no LOTE-05</t>
  </si>
  <si>
    <t xml:space="preserve">V009263</t>
  </si>
  <si>
    <t xml:space="preserve">Duplicata de V002553 no LOTE-05</t>
  </si>
  <si>
    <t xml:space="preserve">V009264</t>
  </si>
  <si>
    <t xml:space="preserve">Duplicata de V002578 no LOTE-05</t>
  </si>
  <si>
    <t xml:space="preserve">V009265</t>
  </si>
  <si>
    <t xml:space="preserve">Duplicata de V002579 no LOTE-05</t>
  </si>
  <si>
    <t xml:space="preserve">V009266</t>
  </si>
  <si>
    <t xml:space="preserve">Duplicata de V002587 no LOTE-05</t>
  </si>
  <si>
    <t xml:space="preserve">V009267</t>
  </si>
  <si>
    <t xml:space="preserve">Duplicata de V002593 no LOTE-05</t>
  </si>
  <si>
    <t xml:space="preserve">V009268</t>
  </si>
  <si>
    <t xml:space="preserve">Duplicata de V002613 no LOTE-05</t>
  </si>
  <si>
    <t xml:space="preserve">V009269</t>
  </si>
  <si>
    <t xml:space="preserve">Duplicata de V002621 no LOTE-05</t>
  </si>
  <si>
    <t xml:space="preserve">V009270</t>
  </si>
  <si>
    <t xml:space="preserve">Duplicata de V002648 no LOTE-05</t>
  </si>
  <si>
    <t xml:space="preserve">V009271</t>
  </si>
  <si>
    <t xml:space="preserve">Duplicata de V002688 no LOTE-05</t>
  </si>
  <si>
    <t xml:space="preserve">V009272</t>
  </si>
  <si>
    <t xml:space="preserve">Duplicata de V002723 no LOTE-05</t>
  </si>
  <si>
    <t xml:space="preserve">V009273</t>
  </si>
  <si>
    <t xml:space="preserve">Duplicata de V002724 no LOTE-05</t>
  </si>
  <si>
    <t xml:space="preserve">V009274</t>
  </si>
  <si>
    <t xml:space="preserve">Duplicata de V002750 no LOTE-05</t>
  </si>
  <si>
    <t xml:space="preserve">V009275</t>
  </si>
  <si>
    <t xml:space="preserve">Duplicata de V002755 no LOTE-05</t>
  </si>
  <si>
    <t xml:space="preserve">V009276</t>
  </si>
  <si>
    <t xml:space="preserve">Duplicata de V002763 no LOTE-05</t>
  </si>
  <si>
    <t xml:space="preserve">V009277</t>
  </si>
  <si>
    <t xml:space="preserve">Duplicata de V002768 no LOTE-05</t>
  </si>
  <si>
    <t xml:space="preserve">V009278</t>
  </si>
  <si>
    <t xml:space="preserve">Duplicata de V002778 no LOTE-05</t>
  </si>
  <si>
    <t xml:space="preserve">V009279</t>
  </si>
  <si>
    <t xml:space="preserve">Duplicata de V002802 no LOTE-05</t>
  </si>
  <si>
    <t xml:space="preserve">V009280</t>
  </si>
  <si>
    <t xml:space="preserve">Duplicata de V002807 no LOTE-05</t>
  </si>
  <si>
    <t xml:space="preserve">V009281</t>
  </si>
  <si>
    <t xml:space="preserve">Duplicata de V002810 no LOTE-05</t>
  </si>
  <si>
    <t xml:space="preserve">V009282</t>
  </si>
  <si>
    <t xml:space="preserve">Duplicata de V002811 no LOTE-05</t>
  </si>
  <si>
    <t xml:space="preserve">V009283</t>
  </si>
  <si>
    <t xml:space="preserve">Duplicata de V002820 no LOTE-05</t>
  </si>
  <si>
    <t xml:space="preserve">V009284</t>
  </si>
  <si>
    <t xml:space="preserve">Duplicata de V002824 no LOTE-05</t>
  </si>
  <si>
    <t xml:space="preserve">V009285</t>
  </si>
  <si>
    <t xml:space="preserve">Duplicata de V002831 no LOTE-05</t>
  </si>
  <si>
    <t xml:space="preserve">V009286</t>
  </si>
  <si>
    <t xml:space="preserve">Duplicata de V002832 no LOTE-05</t>
  </si>
  <si>
    <t xml:space="preserve">V009287</t>
  </si>
  <si>
    <t xml:space="preserve">Duplicata de V002838 no LOTE-05</t>
  </si>
  <si>
    <t xml:space="preserve">V009288</t>
  </si>
  <si>
    <t xml:space="preserve">Duplicata de V002842 no LOTE-05</t>
  </si>
  <si>
    <t xml:space="preserve">V009289</t>
  </si>
  <si>
    <t xml:space="preserve">Duplicata de V002849 no LOTE-05</t>
  </si>
  <si>
    <t xml:space="preserve">V009290</t>
  </si>
  <si>
    <t xml:space="preserve">Duplicata de V002877 no LOTE-05</t>
  </si>
  <si>
    <t xml:space="preserve">V009291</t>
  </si>
  <si>
    <t xml:space="preserve">Duplicata de V002879 no LOTE-05</t>
  </si>
  <si>
    <t xml:space="preserve">V009292</t>
  </si>
  <si>
    <t xml:space="preserve">Duplicata de V002894 no LOTE-05</t>
  </si>
  <si>
    <t xml:space="preserve">V009293</t>
  </si>
  <si>
    <t xml:space="preserve">Duplicata de V002908 no LOTE-05</t>
  </si>
  <si>
    <t xml:space="preserve">V009294</t>
  </si>
  <si>
    <t xml:space="preserve">Duplicata de V002928 no LOTE-05</t>
  </si>
  <si>
    <t xml:space="preserve">V009295</t>
  </si>
  <si>
    <t xml:space="preserve">Duplicata de V002938 no LOTE-05</t>
  </si>
  <si>
    <t xml:space="preserve">V009296</t>
  </si>
  <si>
    <t xml:space="preserve">Duplicata de V002949 no LOTE-05</t>
  </si>
  <si>
    <t xml:space="preserve">V009297</t>
  </si>
  <si>
    <t xml:space="preserve">Duplicata de V002950 no LOTE-05</t>
  </si>
  <si>
    <t xml:space="preserve">V009298</t>
  </si>
  <si>
    <t xml:space="preserve">Duplicata de V003010 no LOTE-05</t>
  </si>
  <si>
    <t xml:space="preserve">V009299</t>
  </si>
  <si>
    <t xml:space="preserve">Duplicata de V003024 no LOTE-05</t>
  </si>
  <si>
    <t xml:space="preserve">V009300</t>
  </si>
  <si>
    <t xml:space="preserve">Duplicata de V003029 no LOTE-05</t>
  </si>
  <si>
    <t xml:space="preserve">V009301</t>
  </si>
  <si>
    <t xml:space="preserve">Duplicata de V003030 no LOTE-05</t>
  </si>
  <si>
    <t xml:space="preserve">V009302</t>
  </si>
  <si>
    <t xml:space="preserve">Duplicata de V003035 no LOTE-05</t>
  </si>
  <si>
    <t xml:space="preserve">V009303</t>
  </si>
  <si>
    <t xml:space="preserve">Duplicata de V003041 no LOTE-05</t>
  </si>
  <si>
    <t xml:space="preserve">V009304</t>
  </si>
  <si>
    <t xml:space="preserve">Duplicata de V003046 no LOTE-05</t>
  </si>
  <si>
    <t xml:space="preserve">V009305</t>
  </si>
  <si>
    <t xml:space="preserve">Duplicata de V003049 no LOTE-05</t>
  </si>
  <si>
    <t xml:space="preserve">V009306</t>
  </si>
  <si>
    <t xml:space="preserve">Duplicata de V003052 no LOTE-05</t>
  </si>
  <si>
    <t xml:space="preserve">V009307</t>
  </si>
  <si>
    <t xml:space="preserve">Duplicata de V003079 no LOTE-05</t>
  </si>
  <si>
    <t xml:space="preserve">V009308</t>
  </si>
  <si>
    <t xml:space="preserve">Duplicata de V003100 no LOTE-05</t>
  </si>
  <si>
    <t xml:space="preserve">V009309</t>
  </si>
  <si>
    <t xml:space="preserve">Duplicata de V003105 no LOTE-05</t>
  </si>
  <si>
    <t xml:space="preserve">V009310</t>
  </si>
  <si>
    <t xml:space="preserve">Duplicata de V003114 no LOTE-05</t>
  </si>
  <si>
    <t xml:space="preserve">V009311</t>
  </si>
  <si>
    <t xml:space="preserve">Duplicata de V003122 no LOTE-05</t>
  </si>
  <si>
    <t xml:space="preserve">V009312</t>
  </si>
  <si>
    <t xml:space="preserve">Duplicata de V003182 no LOTE-05</t>
  </si>
  <si>
    <t xml:space="preserve">V009313</t>
  </si>
  <si>
    <t xml:space="preserve">Duplicata de V003183 no LOTE-05</t>
  </si>
  <si>
    <t xml:space="preserve">V009314</t>
  </si>
  <si>
    <t xml:space="preserve">Duplicata de V003187 no LOTE-05</t>
  </si>
  <si>
    <t xml:space="preserve">V009315</t>
  </si>
  <si>
    <t xml:space="preserve">Duplicata de V003195 no LOTE-05</t>
  </si>
  <si>
    <t xml:space="preserve">V009316</t>
  </si>
  <si>
    <t xml:space="preserve">Duplicata de V003210 no LOTE-05</t>
  </si>
  <si>
    <t xml:space="preserve">V009317</t>
  </si>
  <si>
    <t xml:space="preserve">Duplicata de V003240 no LOTE-05</t>
  </si>
  <si>
    <t xml:space="preserve">V009318</t>
  </si>
  <si>
    <t xml:space="preserve">Duplicata de V003250 no LOTE-05</t>
  </si>
  <si>
    <t xml:space="preserve">V009319</t>
  </si>
  <si>
    <t xml:space="preserve">Duplicata de V003253 no LOTE-05</t>
  </si>
  <si>
    <t xml:space="preserve">V009320</t>
  </si>
  <si>
    <t xml:space="preserve">Duplicata de V003258 no LOTE-05</t>
  </si>
  <si>
    <t xml:space="preserve">V009321</t>
  </si>
  <si>
    <t xml:space="preserve">Duplicata de V003272 no LOTE-05</t>
  </si>
  <si>
    <t xml:space="preserve">V009322</t>
  </si>
  <si>
    <t xml:space="preserve">Duplicata de V003275 no LOTE-05</t>
  </si>
  <si>
    <t xml:space="preserve">V009323</t>
  </si>
  <si>
    <t xml:space="preserve">Duplicata de V003298 no LOTE-05</t>
  </si>
  <si>
    <t xml:space="preserve">V009324</t>
  </si>
  <si>
    <t xml:space="preserve">Duplicata de V003315 no LOTE-05</t>
  </si>
  <si>
    <t xml:space="preserve">V009325</t>
  </si>
  <si>
    <t xml:space="preserve">Duplicata de V003336 no LOTE-05</t>
  </si>
  <si>
    <t xml:space="preserve">V009326</t>
  </si>
  <si>
    <t xml:space="preserve">Duplicata de V003354 no LOTE-05</t>
  </si>
  <si>
    <t xml:space="preserve">V009327</t>
  </si>
  <si>
    <t xml:space="preserve">Duplicata de V003364 no LOTE-05</t>
  </si>
  <si>
    <t xml:space="preserve">V009328</t>
  </si>
  <si>
    <t xml:space="preserve">Duplicata de V003368 no LOTE-05</t>
  </si>
  <si>
    <t xml:space="preserve">V009329</t>
  </si>
  <si>
    <t xml:space="preserve">Duplicata de V003383 no LOTE-05</t>
  </si>
  <si>
    <t xml:space="preserve">V009330</t>
  </si>
  <si>
    <t xml:space="preserve">Duplicata de V003399 no LOTE-05</t>
  </si>
  <si>
    <t xml:space="preserve">V009331</t>
  </si>
  <si>
    <t xml:space="preserve">Duplicata de V003400 no LOTE-05</t>
  </si>
  <si>
    <t xml:space="preserve">V009332</t>
  </si>
  <si>
    <t xml:space="preserve">Duplicata de V003413 no LOTE-05</t>
  </si>
  <si>
    <t xml:space="preserve">V009333</t>
  </si>
  <si>
    <t xml:space="preserve">Duplicata de V003414 no LOTE-05</t>
  </si>
  <si>
    <t xml:space="preserve">V009334</t>
  </si>
  <si>
    <t xml:space="preserve">Duplicata de V003432 no LOTE-05</t>
  </si>
  <si>
    <t xml:space="preserve">V009335</t>
  </si>
  <si>
    <t xml:space="preserve">Duplicata de V003475 no LOTE-05</t>
  </si>
  <si>
    <t xml:space="preserve">V009336</t>
  </si>
  <si>
    <t xml:space="preserve">Duplicata de V003484 no LOTE-05</t>
  </si>
  <si>
    <t xml:space="preserve">V009337</t>
  </si>
  <si>
    <t xml:space="preserve">Duplicata de V003507 no LOTE-05</t>
  </si>
  <si>
    <t xml:space="preserve">V009338</t>
  </si>
  <si>
    <t xml:space="preserve">Duplicata de V003523 no LOTE-05</t>
  </si>
  <si>
    <t xml:space="preserve">V009339</t>
  </si>
  <si>
    <t xml:space="preserve">Duplicata de V003526 no LOTE-05</t>
  </si>
  <si>
    <t xml:space="preserve">V009340</t>
  </si>
  <si>
    <t xml:space="preserve">Duplicata de V003532 no LOTE-05</t>
  </si>
  <si>
    <t xml:space="preserve">V009341</t>
  </si>
  <si>
    <t xml:space="preserve">Duplicata de V003563 no LOTE-05</t>
  </si>
  <si>
    <t xml:space="preserve">V009342</t>
  </si>
  <si>
    <t xml:space="preserve">Duplicata de V003570 no LOTE-05</t>
  </si>
  <si>
    <t xml:space="preserve">V009343</t>
  </si>
  <si>
    <t xml:space="preserve">Duplicata de V003571 no LOTE-05</t>
  </si>
  <si>
    <t xml:space="preserve">V009344</t>
  </si>
  <si>
    <t xml:space="preserve">Duplicata de V003574 no LOTE-05</t>
  </si>
  <si>
    <t xml:space="preserve">V009345</t>
  </si>
  <si>
    <t xml:space="preserve">Duplicata de V003581 no LOTE-05</t>
  </si>
  <si>
    <t xml:space="preserve">V009346</t>
  </si>
  <si>
    <t xml:space="preserve">Duplicata de V003601 no LOTE-05</t>
  </si>
  <si>
    <t xml:space="preserve">V009347</t>
  </si>
  <si>
    <t xml:space="preserve">Duplicata de V003607 no LOTE-05</t>
  </si>
  <si>
    <t xml:space="preserve">V009348</t>
  </si>
  <si>
    <t xml:space="preserve">Duplicata de V003657 no LOTE-05</t>
  </si>
  <si>
    <t xml:space="preserve">V009349</t>
  </si>
  <si>
    <t xml:space="preserve">Duplicata de V003672 no LOTE-05</t>
  </si>
  <si>
    <t xml:space="preserve">V009350</t>
  </si>
  <si>
    <t xml:space="preserve">Duplicata de V003680 no LOTE-05</t>
  </si>
  <si>
    <t xml:space="preserve">V009351</t>
  </si>
  <si>
    <t xml:space="preserve">Duplicata de V003688 no LOTE-05</t>
  </si>
  <si>
    <t xml:space="preserve">V009352</t>
  </si>
  <si>
    <t xml:space="preserve">Duplicata de V003695 no LOTE-05</t>
  </si>
  <si>
    <t xml:space="preserve">V009353</t>
  </si>
  <si>
    <t xml:space="preserve">Duplicata de V003703 no LOTE-05</t>
  </si>
  <si>
    <t xml:space="preserve">V009354</t>
  </si>
  <si>
    <t xml:space="preserve">Duplicata de V003709 no LOTE-05</t>
  </si>
  <si>
    <t xml:space="preserve">V009355</t>
  </si>
  <si>
    <t xml:space="preserve">Duplicata de V003716 no LOTE-05</t>
  </si>
  <si>
    <t xml:space="preserve">V009356</t>
  </si>
  <si>
    <t xml:space="preserve">Duplicata de V003730 no LOTE-05</t>
  </si>
  <si>
    <t xml:space="preserve">V009357</t>
  </si>
  <si>
    <t xml:space="preserve">Duplicata de V003745 no LOTE-05</t>
  </si>
  <si>
    <t xml:space="preserve">V009358</t>
  </si>
  <si>
    <t xml:space="preserve">Duplicata de V003747 no LOTE-05</t>
  </si>
  <si>
    <t xml:space="preserve">V009359</t>
  </si>
  <si>
    <t xml:space="preserve">Duplicata de V003749 no LOTE-05</t>
  </si>
  <si>
    <t xml:space="preserve">V009360</t>
  </si>
  <si>
    <t xml:space="preserve">Duplicata de V003758 no LOTE-05</t>
  </si>
  <si>
    <t xml:space="preserve">V009361</t>
  </si>
  <si>
    <t xml:space="preserve">Duplicata de V003806 no LOTE-05</t>
  </si>
  <si>
    <t xml:space="preserve">V009362</t>
  </si>
  <si>
    <t xml:space="preserve">Duplicata de V003817 no LOTE-05</t>
  </si>
  <si>
    <t xml:space="preserve">V009363</t>
  </si>
  <si>
    <t xml:space="preserve">Duplicata de V003846 no LOTE-05</t>
  </si>
  <si>
    <t xml:space="preserve">V009364</t>
  </si>
  <si>
    <t xml:space="preserve">Duplicata de V003853 no LOTE-05</t>
  </si>
  <si>
    <t xml:space="preserve">V009365</t>
  </si>
  <si>
    <t xml:space="preserve">Duplicata de V003860 no LOTE-05</t>
  </si>
  <si>
    <t xml:space="preserve">V009366</t>
  </si>
  <si>
    <t xml:space="preserve">Duplicata de V003863 no LOTE-05</t>
  </si>
  <si>
    <t xml:space="preserve">V009367</t>
  </si>
  <si>
    <t xml:space="preserve">Duplicata de V003865 no LOTE-05</t>
  </si>
  <si>
    <t xml:space="preserve">V009368</t>
  </si>
  <si>
    <t xml:space="preserve">Duplicata de V003867 no LOTE-05</t>
  </si>
  <si>
    <t xml:space="preserve">V009369</t>
  </si>
  <si>
    <t xml:space="preserve">Duplicata de V003902 no LOTE-05</t>
  </si>
  <si>
    <t xml:space="preserve">V009370</t>
  </si>
  <si>
    <t xml:space="preserve">Duplicata de V003909 no LOTE-05</t>
  </si>
  <si>
    <t xml:space="preserve">V009371</t>
  </si>
  <si>
    <t xml:space="preserve">Duplicata de V003912 no LOTE-05</t>
  </si>
  <si>
    <t xml:space="preserve">V009372</t>
  </si>
  <si>
    <t xml:space="preserve">Duplicata de V003913 no LOTE-05</t>
  </si>
  <si>
    <t xml:space="preserve">V009373</t>
  </si>
  <si>
    <t xml:space="preserve">Duplicata de V003918 no LOTE-05</t>
  </si>
  <si>
    <t xml:space="preserve">V009374</t>
  </si>
  <si>
    <t xml:space="preserve">Duplicata de V003920 no LOTE-05</t>
  </si>
  <si>
    <t xml:space="preserve">V009375</t>
  </si>
  <si>
    <t xml:space="preserve">Duplicata de V003938 no LOTE-05</t>
  </si>
  <si>
    <t xml:space="preserve">V009376</t>
  </si>
  <si>
    <t xml:space="preserve">Duplicata de V003953 no LOTE-05</t>
  </si>
  <si>
    <t xml:space="preserve">V009377</t>
  </si>
  <si>
    <t xml:space="preserve">Duplicata de V003986 no LOTE-05</t>
  </si>
  <si>
    <t xml:space="preserve">V009378</t>
  </si>
  <si>
    <t xml:space="preserve">Duplicata de V003997 no LOTE-05</t>
  </si>
  <si>
    <t xml:space="preserve">V009379</t>
  </si>
  <si>
    <t xml:space="preserve">Duplicata de V004005 no LOTE-05</t>
  </si>
  <si>
    <t xml:space="preserve">V009380</t>
  </si>
  <si>
    <t xml:space="preserve">Duplicata de V004009 no LOTE-05</t>
  </si>
  <si>
    <t xml:space="preserve">V009381</t>
  </si>
  <si>
    <t xml:space="preserve">Duplicata de V004019 no LOTE-05</t>
  </si>
  <si>
    <t xml:space="preserve">V009382</t>
  </si>
  <si>
    <t xml:space="preserve">Duplicata de V004022 no LOTE-05</t>
  </si>
  <si>
    <t xml:space="preserve">V009383</t>
  </si>
  <si>
    <t xml:space="preserve">Duplicata de V004024 no LOTE-05</t>
  </si>
  <si>
    <t xml:space="preserve">V009384</t>
  </si>
  <si>
    <t xml:space="preserve">Duplicata de V004033 no LOTE-05</t>
  </si>
  <si>
    <t xml:space="preserve">V009385</t>
  </si>
  <si>
    <t xml:space="preserve">Duplicata de V004037 no LOTE-05</t>
  </si>
  <si>
    <t xml:space="preserve">V009386</t>
  </si>
  <si>
    <t xml:space="preserve">Duplicata de V004063 no LOTE-05</t>
  </si>
  <si>
    <t xml:space="preserve">V009387</t>
  </si>
  <si>
    <t xml:space="preserve">Duplicata de V004064 no LOTE-05</t>
  </si>
  <si>
    <t xml:space="preserve">V009388</t>
  </si>
  <si>
    <t xml:space="preserve">Duplicata de V004067 no LOTE-05</t>
  </si>
  <si>
    <t xml:space="preserve">V009389</t>
  </si>
  <si>
    <t xml:space="preserve">Duplicata de V004073 no LOTE-05</t>
  </si>
  <si>
    <t xml:space="preserve">V009390</t>
  </si>
  <si>
    <t xml:space="preserve">Duplicata de V004076 no LOTE-05</t>
  </si>
  <si>
    <t xml:space="preserve">V009391</t>
  </si>
  <si>
    <t xml:space="preserve">Duplicata de V004114 no LOTE-05</t>
  </si>
  <si>
    <t xml:space="preserve">V009392</t>
  </si>
  <si>
    <t xml:space="preserve">Duplicata de V004115 no LOTE-05</t>
  </si>
  <si>
    <t xml:space="preserve">V009393</t>
  </si>
  <si>
    <t xml:space="preserve">Duplicata de V004123 no LOTE-05</t>
  </si>
  <si>
    <t xml:space="preserve">V009394</t>
  </si>
  <si>
    <t xml:space="preserve">Duplicata de V004151 no LOTE-05</t>
  </si>
  <si>
    <t xml:space="preserve">V009395</t>
  </si>
  <si>
    <t xml:space="preserve">Duplicata de V004162 no LOTE-05</t>
  </si>
  <si>
    <t xml:space="preserve">V009396</t>
  </si>
  <si>
    <t xml:space="preserve">Duplicata de V004173 no LOTE-05</t>
  </si>
  <si>
    <t xml:space="preserve">V009397</t>
  </si>
  <si>
    <t xml:space="preserve">Duplicata de V004181 no LOTE-05</t>
  </si>
  <si>
    <t xml:space="preserve">V009398</t>
  </si>
  <si>
    <t xml:space="preserve">Duplicata de V004214 no LOTE-05</t>
  </si>
  <si>
    <t xml:space="preserve">V009399</t>
  </si>
  <si>
    <t xml:space="preserve">Duplicata de V004226 no LOTE-05</t>
  </si>
  <si>
    <t xml:space="preserve">V009400</t>
  </si>
  <si>
    <t xml:space="preserve">Duplicata de V004252 no LOTE-05</t>
  </si>
  <si>
    <t xml:space="preserve">V009401</t>
  </si>
  <si>
    <t xml:space="preserve">Duplicata de V004257 no LOTE-05</t>
  </si>
  <si>
    <t xml:space="preserve">V009402</t>
  </si>
  <si>
    <t xml:space="preserve">Duplicata de V004260 no LOTE-05</t>
  </si>
  <si>
    <t xml:space="preserve">V009403</t>
  </si>
  <si>
    <t xml:space="preserve">Duplicata de V004261 no LOTE-05</t>
  </si>
  <si>
    <t xml:space="preserve">V009404</t>
  </si>
  <si>
    <t xml:space="preserve">Duplicata de V004273 no LOTE-05</t>
  </si>
  <si>
    <t xml:space="preserve">V009405</t>
  </si>
  <si>
    <t xml:space="preserve">Duplicata de V004310 no LOTE-05</t>
  </si>
  <si>
    <t xml:space="preserve">V009406</t>
  </si>
  <si>
    <t xml:space="preserve">Duplicata de V004329 no LOTE-05</t>
  </si>
  <si>
    <t xml:space="preserve">V009407</t>
  </si>
  <si>
    <t xml:space="preserve">Duplicata de V004341 no LOTE-05</t>
  </si>
  <si>
    <t xml:space="preserve">V009408</t>
  </si>
  <si>
    <t xml:space="preserve">Duplicata de V004344 no LOTE-05</t>
  </si>
  <si>
    <t xml:space="preserve">V009409</t>
  </si>
  <si>
    <t xml:space="preserve">Duplicata de V004351 no LOTE-05</t>
  </si>
  <si>
    <t xml:space="preserve">V009410</t>
  </si>
  <si>
    <t xml:space="preserve">Duplicata de V004365 no LOTE-05</t>
  </si>
  <si>
    <t xml:space="preserve">V009411</t>
  </si>
  <si>
    <t xml:space="preserve">Duplicata de V004380 no LOTE-05</t>
  </si>
  <si>
    <t xml:space="preserve">V009412</t>
  </si>
  <si>
    <t xml:space="preserve">Duplicata de V004397 no LOTE-05</t>
  </si>
  <si>
    <t xml:space="preserve">V009413</t>
  </si>
  <si>
    <t xml:space="preserve">Duplicata de V004398 no LOTE-05</t>
  </si>
  <si>
    <t xml:space="preserve">V009414</t>
  </si>
  <si>
    <t xml:space="preserve">Duplicata de V004403 no LOTE-05</t>
  </si>
  <si>
    <t xml:space="preserve">V009415</t>
  </si>
  <si>
    <t xml:space="preserve">Duplicata de V004419 no LOTE-05</t>
  </si>
  <si>
    <t xml:space="preserve">V009416</t>
  </si>
  <si>
    <t xml:space="preserve">Duplicata de V004444 no LOTE-05</t>
  </si>
  <si>
    <t xml:space="preserve">V009417</t>
  </si>
  <si>
    <t xml:space="preserve">Duplicata de V004446 no LOTE-05</t>
  </si>
  <si>
    <t xml:space="preserve">V009418</t>
  </si>
  <si>
    <t xml:space="preserve">Duplicata de V004477 no LOTE-05</t>
  </si>
  <si>
    <t xml:space="preserve">V009419</t>
  </si>
  <si>
    <t xml:space="preserve">Duplicata de V004492 no LOTE-05</t>
  </si>
  <si>
    <t xml:space="preserve">V009420</t>
  </si>
  <si>
    <t xml:space="preserve">Duplicata de V004518 no LOTE-05</t>
  </si>
  <si>
    <t xml:space="preserve">V009421</t>
  </si>
  <si>
    <t xml:space="preserve">Duplicata de V004526 no LOTE-05</t>
  </si>
  <si>
    <t xml:space="preserve">V009422</t>
  </si>
  <si>
    <t xml:space="preserve">Duplicata de V004549 no LOTE-05</t>
  </si>
  <si>
    <t xml:space="preserve">V009423</t>
  </si>
  <si>
    <t xml:space="preserve">Duplicata de V004555 no LOTE-05</t>
  </si>
  <si>
    <t xml:space="preserve">V009424</t>
  </si>
  <si>
    <t xml:space="preserve">Duplicata de V004568 no LOTE-05</t>
  </si>
  <si>
    <t xml:space="preserve">V009425</t>
  </si>
  <si>
    <t xml:space="preserve">Duplicata de V004579 no LOTE-05</t>
  </si>
  <si>
    <t xml:space="preserve">V009426</t>
  </si>
  <si>
    <t xml:space="preserve">Duplicata de V004582 no LOTE-05</t>
  </si>
  <si>
    <t xml:space="preserve">V009427</t>
  </si>
  <si>
    <t xml:space="preserve">Duplicata de V004585 no LOTE-05</t>
  </si>
  <si>
    <t xml:space="preserve">V009428</t>
  </si>
  <si>
    <t xml:space="preserve">Duplicata de V004644 no LOTE-05</t>
  </si>
  <si>
    <t xml:space="preserve">V009429</t>
  </si>
  <si>
    <t xml:space="preserve">Duplicata de V004647 no LOTE-05</t>
  </si>
  <si>
    <t xml:space="preserve">V009430</t>
  </si>
  <si>
    <t xml:space="preserve">Duplicata de V004661 no LOTE-05</t>
  </si>
  <si>
    <t xml:space="preserve">V009431</t>
  </si>
  <si>
    <t xml:space="preserve">Duplicata de V004669 no LOTE-05</t>
  </si>
  <si>
    <t xml:space="preserve">V009432</t>
  </si>
  <si>
    <t xml:space="preserve">Duplicata de V004686 no LOTE-05</t>
  </si>
  <si>
    <t xml:space="preserve">V009433</t>
  </si>
  <si>
    <t xml:space="preserve">Duplicata de V004695 no LOTE-05</t>
  </si>
  <si>
    <t xml:space="preserve">V009434</t>
  </si>
  <si>
    <t xml:space="preserve">Duplicata de V004704 no LOTE-05</t>
  </si>
  <si>
    <t xml:space="preserve">V009435</t>
  </si>
  <si>
    <t xml:space="preserve">Duplicata de V004708 no LOTE-05</t>
  </si>
  <si>
    <t xml:space="preserve">V009436</t>
  </si>
  <si>
    <t xml:space="preserve">Duplicata de V004714 no LOTE-05</t>
  </si>
  <si>
    <t xml:space="preserve">V009437</t>
  </si>
  <si>
    <t xml:space="preserve">Duplicata de V004723 no LOTE-05</t>
  </si>
  <si>
    <t xml:space="preserve">V009438</t>
  </si>
  <si>
    <t xml:space="preserve">Duplicata de V004731 no LOTE-05</t>
  </si>
  <si>
    <t xml:space="preserve">V009439</t>
  </si>
  <si>
    <t xml:space="preserve">Duplicata de V004737 no LOTE-05</t>
  </si>
  <si>
    <t xml:space="preserve">V009440</t>
  </si>
  <si>
    <t xml:space="preserve">Duplicata de V004745 no LOTE-05</t>
  </si>
  <si>
    <t xml:space="preserve">V009441</t>
  </si>
  <si>
    <t xml:space="preserve">Duplicata de V004754 no LOTE-05</t>
  </si>
  <si>
    <t xml:space="preserve">V009442</t>
  </si>
  <si>
    <t xml:space="preserve">Duplicata de V004757 no LOTE-05</t>
  </si>
  <si>
    <t xml:space="preserve">V009443</t>
  </si>
  <si>
    <t xml:space="preserve">Duplicata de V004777 no LOTE-05</t>
  </si>
  <si>
    <t xml:space="preserve">V009444</t>
  </si>
  <si>
    <t xml:space="preserve">Duplicata de V004781 no LOTE-05</t>
  </si>
  <si>
    <t xml:space="preserve">V009445</t>
  </si>
  <si>
    <t xml:space="preserve">Duplicata de V004820 no LOTE-05</t>
  </si>
  <si>
    <t xml:space="preserve">V009446</t>
  </si>
  <si>
    <t xml:space="preserve">Duplicata de V004829 no LOTE-05</t>
  </si>
  <si>
    <t xml:space="preserve">V009447</t>
  </si>
  <si>
    <t xml:space="preserve">Duplicata de V004842 no LOTE-05</t>
  </si>
  <si>
    <t xml:space="preserve">V009448</t>
  </si>
  <si>
    <t xml:space="preserve">Duplicata de V004845 no LOTE-05</t>
  </si>
  <si>
    <t xml:space="preserve">V009449</t>
  </si>
  <si>
    <t xml:space="preserve">Duplicata de V004854 no LOTE-05</t>
  </si>
  <si>
    <t xml:space="preserve">V009450</t>
  </si>
  <si>
    <t xml:space="preserve">Duplicata de V004868 no LOTE-05</t>
  </si>
  <si>
    <t xml:space="preserve">V009451</t>
  </si>
  <si>
    <t xml:space="preserve">Duplicata de V004870 no LOTE-05</t>
  </si>
  <si>
    <t xml:space="preserve">V009452</t>
  </si>
  <si>
    <t xml:space="preserve">Duplicata de V004891 no LOTE-05</t>
  </si>
  <si>
    <t xml:space="preserve">V009453</t>
  </si>
  <si>
    <t xml:space="preserve">Duplicata de V004898 no LOTE-05</t>
  </si>
  <si>
    <t xml:space="preserve">V009454</t>
  </si>
  <si>
    <t xml:space="preserve">Duplicata de V004919 no LOTE-05</t>
  </si>
  <si>
    <t xml:space="preserve">V009455</t>
  </si>
  <si>
    <t xml:space="preserve">Duplicata de V004931 no LOTE-05</t>
  </si>
  <si>
    <t xml:space="preserve">V009456</t>
  </si>
  <si>
    <t xml:space="preserve">Duplicata de V004932 no LOTE-05</t>
  </si>
  <si>
    <t xml:space="preserve">V009457</t>
  </si>
  <si>
    <t xml:space="preserve">Duplicata de V004956 no LOTE-05</t>
  </si>
  <si>
    <t xml:space="preserve">V009458</t>
  </si>
  <si>
    <t xml:space="preserve">Duplicata de V004984 no LOTE-05</t>
  </si>
  <si>
    <t xml:space="preserve">V009459</t>
  </si>
  <si>
    <t xml:space="preserve">Duplicata de V004997 no LOTE-05</t>
  </si>
  <si>
    <t xml:space="preserve">V009460</t>
  </si>
  <si>
    <t xml:space="preserve">Duplicata de V004999 no LOTE-05</t>
  </si>
  <si>
    <t xml:space="preserve">V009461</t>
  </si>
  <si>
    <t xml:space="preserve">Duplicata de V005024 no LOTE-05</t>
  </si>
  <si>
    <t xml:space="preserve">V009462</t>
  </si>
  <si>
    <t xml:space="preserve">Duplicata de V005025 no LOTE-05</t>
  </si>
  <si>
    <t xml:space="preserve">V009463</t>
  </si>
  <si>
    <t xml:space="preserve">Duplicata de V005043 no LOTE-05</t>
  </si>
  <si>
    <t xml:space="preserve">V009464</t>
  </si>
  <si>
    <t xml:space="preserve">Duplicata de V005078 no LOTE-05</t>
  </si>
  <si>
    <t xml:space="preserve">V009465</t>
  </si>
  <si>
    <t xml:space="preserve">Duplicata de V005092 no LOTE-05</t>
  </si>
  <si>
    <t xml:space="preserve">V009466</t>
  </si>
  <si>
    <t xml:space="preserve">Duplicata de V005123 no LOTE-05</t>
  </si>
  <si>
    <t xml:space="preserve">V009467</t>
  </si>
  <si>
    <t xml:space="preserve">Duplicata de V005137 no LOTE-05</t>
  </si>
  <si>
    <t xml:space="preserve">V009468</t>
  </si>
  <si>
    <t xml:space="preserve">Duplicata de V005147 no LOTE-05</t>
  </si>
  <si>
    <t xml:space="preserve">V009469</t>
  </si>
  <si>
    <t xml:space="preserve">Duplicata de V005171 no LOTE-05</t>
  </si>
  <si>
    <t xml:space="preserve">V009470</t>
  </si>
  <si>
    <t xml:space="preserve">Duplicata de V005181 no LOTE-05</t>
  </si>
  <si>
    <t xml:space="preserve">V009471</t>
  </si>
  <si>
    <t xml:space="preserve">Duplicata de V005192 no LOTE-05</t>
  </si>
  <si>
    <t xml:space="preserve">V009472</t>
  </si>
  <si>
    <t xml:space="preserve">Duplicata de V005212 no LOTE-05</t>
  </si>
  <si>
    <t xml:space="preserve">V009473</t>
  </si>
  <si>
    <t xml:space="preserve">Duplicata de V005225 no LOTE-05</t>
  </si>
  <si>
    <t xml:space="preserve">V009474</t>
  </si>
  <si>
    <t xml:space="preserve">Duplicata de V005226 no LOTE-05</t>
  </si>
  <si>
    <t xml:space="preserve">V009475</t>
  </si>
  <si>
    <t xml:space="preserve">Duplicata de V005232 no LOTE-05</t>
  </si>
  <si>
    <t xml:space="preserve">V009476</t>
  </si>
  <si>
    <t xml:space="preserve">Duplicata de V005266 no LOTE-05</t>
  </si>
  <si>
    <t xml:space="preserve">V009477</t>
  </si>
  <si>
    <t xml:space="preserve">Duplicata de V005272 no LOTE-05</t>
  </si>
  <si>
    <t xml:space="preserve">V009478</t>
  </si>
  <si>
    <t xml:space="preserve">Duplicata de V005286 no LOTE-05</t>
  </si>
  <si>
    <t xml:space="preserve">V009479</t>
  </si>
  <si>
    <t xml:space="preserve">Duplicata de V005337 no LOTE-05</t>
  </si>
  <si>
    <t xml:space="preserve">V009480</t>
  </si>
  <si>
    <t xml:space="preserve">Duplicata de V005350 no LOTE-05</t>
  </si>
  <si>
    <t xml:space="preserve">V009481</t>
  </si>
  <si>
    <t xml:space="preserve">Duplicata de V005355 no LOTE-05</t>
  </si>
  <si>
    <t xml:space="preserve">V009482</t>
  </si>
  <si>
    <t xml:space="preserve">Duplicata de V005380 no LOTE-05</t>
  </si>
  <si>
    <t xml:space="preserve">V009483</t>
  </si>
  <si>
    <t xml:space="preserve">Duplicata de V005382 no LOTE-05</t>
  </si>
  <si>
    <t xml:space="preserve">V009484</t>
  </si>
  <si>
    <t xml:space="preserve">Duplicata de V005399 no LOTE-05</t>
  </si>
  <si>
    <t xml:space="preserve">V009485</t>
  </si>
  <si>
    <t xml:space="preserve">Duplicata de V005409 no LOTE-05</t>
  </si>
  <si>
    <t xml:space="preserve">V009486</t>
  </si>
  <si>
    <t xml:space="preserve">Duplicata de V005418 no LOTE-05</t>
  </si>
  <si>
    <t xml:space="preserve">V009487</t>
  </si>
  <si>
    <t xml:space="preserve">Duplicata de V005447 no LOTE-05</t>
  </si>
  <si>
    <t xml:space="preserve">V009488</t>
  </si>
  <si>
    <t xml:space="preserve">Duplicata de V005466 no LOTE-05</t>
  </si>
  <si>
    <t xml:space="preserve">V009489</t>
  </si>
  <si>
    <t xml:space="preserve">Duplicata de V005485 no LOTE-05</t>
  </si>
  <si>
    <t xml:space="preserve">V009490</t>
  </si>
  <si>
    <t xml:space="preserve">Duplicata de V005491 no LOTE-05</t>
  </si>
  <si>
    <t xml:space="preserve">V009491</t>
  </si>
  <si>
    <t xml:space="preserve">Duplicata de V005496 no LOTE-05</t>
  </si>
  <si>
    <t xml:space="preserve">V009492</t>
  </si>
  <si>
    <t xml:space="preserve">Duplicata de V005500 no LOTE-05</t>
  </si>
  <si>
    <t xml:space="preserve">V009493</t>
  </si>
  <si>
    <t xml:space="preserve">Duplicata de V005510 no LOTE-05</t>
  </si>
  <si>
    <t xml:space="preserve">V009494</t>
  </si>
  <si>
    <t xml:space="preserve">Duplicata de V005520 no LOTE-05</t>
  </si>
  <si>
    <t xml:space="preserve">V009495</t>
  </si>
  <si>
    <t xml:space="preserve">Duplicata de V005525 no LOTE-05</t>
  </si>
  <si>
    <t xml:space="preserve">V009496</t>
  </si>
  <si>
    <t xml:space="preserve">Duplicata de V005541 no LOTE-05</t>
  </si>
  <si>
    <t xml:space="preserve">V009497</t>
  </si>
  <si>
    <t xml:space="preserve">Duplicata de V005543 no LOTE-05</t>
  </si>
  <si>
    <t xml:space="preserve">V009498</t>
  </si>
  <si>
    <t xml:space="preserve">Duplicata de V005552 no LOTE-05</t>
  </si>
  <si>
    <t xml:space="preserve">V009499</t>
  </si>
  <si>
    <t xml:space="preserve">Duplicata de V005575 no LOTE-05</t>
  </si>
  <si>
    <t xml:space="preserve">V009500</t>
  </si>
  <si>
    <t xml:space="preserve">Duplicata de V005582 no LOTE-05</t>
  </si>
  <si>
    <t xml:space="preserve">V009501</t>
  </si>
  <si>
    <t xml:space="preserve">Duplicata de V005592 no LOTE-05</t>
  </si>
  <si>
    <t xml:space="preserve">V009502</t>
  </si>
  <si>
    <t xml:space="preserve">Duplicata de V005619 no LOTE-05</t>
  </si>
  <si>
    <t xml:space="preserve">V009503</t>
  </si>
  <si>
    <t xml:space="preserve">Duplicata de V005636 no LOTE-05</t>
  </si>
  <si>
    <t xml:space="preserve">V009504</t>
  </si>
  <si>
    <t xml:space="preserve">Duplicata de V005641 no LOTE-05</t>
  </si>
  <si>
    <t xml:space="preserve">V009505</t>
  </si>
  <si>
    <t xml:space="preserve">Duplicata de V005648 no LOTE-05</t>
  </si>
  <si>
    <t xml:space="preserve">V009506</t>
  </si>
  <si>
    <t xml:space="preserve">Duplicata de V005650 no LOTE-05</t>
  </si>
  <si>
    <t xml:space="preserve">V009507</t>
  </si>
  <si>
    <t xml:space="preserve">Duplicata de V005655 no LOTE-05</t>
  </si>
  <si>
    <t xml:space="preserve">V009508</t>
  </si>
  <si>
    <t xml:space="preserve">Duplicata de V005686 no LOTE-05</t>
  </si>
  <si>
    <t xml:space="preserve">V009509</t>
  </si>
  <si>
    <t xml:space="preserve">Duplicata de V005688 no LOTE-05</t>
  </si>
  <si>
    <t xml:space="preserve">V009510</t>
  </si>
  <si>
    <t xml:space="preserve">Duplicata de V005691 no LOTE-05</t>
  </si>
  <si>
    <t xml:space="preserve">V009511</t>
  </si>
  <si>
    <t xml:space="preserve">Duplicata de V005697 no LOTE-05</t>
  </si>
  <si>
    <t xml:space="preserve">V009512</t>
  </si>
  <si>
    <t xml:space="preserve">Duplicata de V005698 no LOTE-05</t>
  </si>
  <si>
    <t xml:space="preserve">V009513</t>
  </si>
  <si>
    <t xml:space="preserve">Duplicata de V005709 no LOTE-05</t>
  </si>
  <si>
    <t xml:space="preserve">V009514</t>
  </si>
  <si>
    <t xml:space="preserve">Duplicata de V005712 no LOTE-05</t>
  </si>
  <si>
    <t xml:space="preserve">V009515</t>
  </si>
  <si>
    <t xml:space="preserve">Duplicata de V005750 no LOTE-05</t>
  </si>
  <si>
    <t xml:space="preserve">V009516</t>
  </si>
  <si>
    <t xml:space="preserve">Duplicata de V005755 no LOTE-05</t>
  </si>
  <si>
    <t xml:space="preserve">V009517</t>
  </si>
  <si>
    <t xml:space="preserve">Duplicata de V005760 no LOTE-05</t>
  </si>
  <si>
    <t xml:space="preserve">V009518</t>
  </si>
  <si>
    <t xml:space="preserve">Duplicata de V005787 no LOTE-05</t>
  </si>
  <si>
    <t xml:space="preserve">V009519</t>
  </si>
  <si>
    <t xml:space="preserve">Duplicata de V005790 no LOTE-05</t>
  </si>
  <si>
    <t xml:space="preserve">V009520</t>
  </si>
  <si>
    <t xml:space="preserve">Duplicata de V005793 no LOTE-05</t>
  </si>
  <si>
    <t xml:space="preserve">V009521</t>
  </si>
  <si>
    <t xml:space="preserve">Duplicata de V005827 no LOTE-05</t>
  </si>
  <si>
    <t xml:space="preserve">V009522</t>
  </si>
  <si>
    <t xml:space="preserve">Duplicata de V005876 no LOTE-05</t>
  </si>
  <si>
    <t xml:space="preserve">V009523</t>
  </si>
  <si>
    <t xml:space="preserve">Duplicata de V005877 no LOTE-05</t>
  </si>
  <si>
    <t xml:space="preserve">V009524</t>
  </si>
  <si>
    <t xml:space="preserve">Duplicata de V005878 no LOTE-05</t>
  </si>
  <si>
    <t xml:space="preserve">V009525</t>
  </si>
  <si>
    <t xml:space="preserve">Duplicata de V005901 no LOTE-05</t>
  </si>
  <si>
    <t xml:space="preserve">V009526</t>
  </si>
  <si>
    <t xml:space="preserve">Duplicata de V005904 no LOTE-05</t>
  </si>
  <si>
    <t xml:space="preserve">V009527</t>
  </si>
  <si>
    <t xml:space="preserve">Duplicata de V005906 no LOTE-05</t>
  </si>
  <si>
    <t xml:space="preserve">V009528</t>
  </si>
  <si>
    <t xml:space="preserve">Duplicata de V005938 no LOTE-05</t>
  </si>
  <si>
    <t xml:space="preserve">V009529</t>
  </si>
  <si>
    <t xml:space="preserve">Duplicata de V005941 no LOTE-05</t>
  </si>
  <si>
    <t xml:space="preserve">V009530</t>
  </si>
  <si>
    <t xml:space="preserve">Duplicata de V005953 no LOTE-05</t>
  </si>
  <si>
    <t xml:space="preserve">V009531</t>
  </si>
  <si>
    <t xml:space="preserve">Duplicata de V005958 no LOTE-05</t>
  </si>
  <si>
    <t xml:space="preserve">V009532</t>
  </si>
  <si>
    <t xml:space="preserve">Duplicata de V005981 no LOTE-05</t>
  </si>
  <si>
    <t xml:space="preserve">V009533</t>
  </si>
  <si>
    <t xml:space="preserve">Duplicata de V005993 no LOTE-05</t>
  </si>
  <si>
    <t xml:space="preserve">V009534</t>
  </si>
  <si>
    <t xml:space="preserve">Duplicata de V006013 no LOTE-05</t>
  </si>
  <si>
    <t xml:space="preserve">V009535</t>
  </si>
  <si>
    <t xml:space="preserve">Duplicata de V006017 no LOTE-05</t>
  </si>
  <si>
    <t xml:space="preserve">V009536</t>
  </si>
  <si>
    <t xml:space="preserve">Duplicata de V006054 no LOTE-05</t>
  </si>
  <si>
    <t xml:space="preserve">V009537</t>
  </si>
  <si>
    <t xml:space="preserve">Duplicata de V006064 no LOTE-05</t>
  </si>
  <si>
    <t xml:space="preserve">V009538</t>
  </si>
  <si>
    <t xml:space="preserve">Duplicata de V006073 no LOTE-05</t>
  </si>
  <si>
    <t xml:space="preserve">V009539</t>
  </si>
  <si>
    <t xml:space="preserve">Duplicata de V006074 no LOTE-05</t>
  </si>
  <si>
    <t xml:space="preserve">V009540</t>
  </si>
  <si>
    <t xml:space="preserve">Duplicata de V006078 no LOTE-05</t>
  </si>
  <si>
    <t xml:space="preserve">V009541</t>
  </si>
  <si>
    <t xml:space="preserve">Duplicata de V006085 no LOTE-05</t>
  </si>
  <si>
    <t xml:space="preserve">V009542</t>
  </si>
  <si>
    <t xml:space="preserve">Duplicata de V006112 no LOTE-05</t>
  </si>
  <si>
    <t xml:space="preserve">V009543</t>
  </si>
  <si>
    <t xml:space="preserve">Duplicata de V006137 no LOTE-05</t>
  </si>
  <si>
    <t xml:space="preserve">V009544</t>
  </si>
  <si>
    <t xml:space="preserve">Duplicata de V006139 no LOTE-05</t>
  </si>
  <si>
    <t xml:space="preserve">V009545</t>
  </si>
  <si>
    <t xml:space="preserve">Duplicata de V006162 no LOTE-05</t>
  </si>
  <si>
    <t xml:space="preserve">V009546</t>
  </si>
  <si>
    <t xml:space="preserve">Duplicata de V006166 no LOTE-05</t>
  </si>
  <si>
    <t xml:space="preserve">V009547</t>
  </si>
  <si>
    <t xml:space="preserve">Duplicata de V006186 no LOTE-05</t>
  </si>
  <si>
    <t xml:space="preserve">V009548</t>
  </si>
  <si>
    <t xml:space="preserve">Duplicata de V006234 no LOTE-05</t>
  </si>
  <si>
    <t xml:space="preserve">V009549</t>
  </si>
  <si>
    <t xml:space="preserve">Duplicata de V006235 no LOTE-05</t>
  </si>
  <si>
    <t xml:space="preserve">V009550</t>
  </si>
  <si>
    <t xml:space="preserve">Duplicata de V006237 no LOTE-05</t>
  </si>
  <si>
    <t xml:space="preserve">V009551</t>
  </si>
  <si>
    <t xml:space="preserve">Duplicata de V006239 no LOTE-05</t>
  </si>
  <si>
    <t xml:space="preserve">V009552</t>
  </si>
  <si>
    <t xml:space="preserve">Duplicata de V006244 no LOTE-05</t>
  </si>
  <si>
    <t xml:space="preserve">V009553</t>
  </si>
  <si>
    <t xml:space="preserve">Duplicata de V006254 no LOTE-05</t>
  </si>
  <si>
    <t xml:space="preserve">V009554</t>
  </si>
  <si>
    <t xml:space="preserve">Duplicata de V006273 no LOTE-05</t>
  </si>
  <si>
    <t xml:space="preserve">V009555</t>
  </si>
  <si>
    <t xml:space="preserve">Duplicata de V006286 no LOTE-05</t>
  </si>
  <si>
    <t xml:space="preserve">V009556</t>
  </si>
  <si>
    <t xml:space="preserve">Duplicata de V006297 no LOTE-05</t>
  </si>
  <si>
    <t xml:space="preserve">V009557</t>
  </si>
  <si>
    <t xml:space="preserve">Duplicata de V006303 no LOTE-05</t>
  </si>
  <si>
    <t xml:space="preserve">V009558</t>
  </si>
  <si>
    <t xml:space="preserve">Duplicata de V006308 no LOTE-05</t>
  </si>
  <si>
    <t xml:space="preserve">V009559</t>
  </si>
  <si>
    <t xml:space="preserve">Duplicata de V006325 no LOTE-05</t>
  </si>
  <si>
    <t xml:space="preserve">V009560</t>
  </si>
  <si>
    <t xml:space="preserve">Duplicata de V006330 no LOTE-05</t>
  </si>
  <si>
    <t xml:space="preserve">V009561</t>
  </si>
  <si>
    <t xml:space="preserve">Duplicata de V006333 no LOTE-05</t>
  </si>
  <si>
    <t xml:space="preserve">V009562</t>
  </si>
  <si>
    <t xml:space="preserve">Duplicata de V006344 no LOTE-05</t>
  </si>
  <si>
    <t xml:space="preserve">V009563</t>
  </si>
  <si>
    <t xml:space="preserve">Duplicata de V006354 no LOTE-05</t>
  </si>
  <si>
    <t xml:space="preserve">V009564</t>
  </si>
  <si>
    <t xml:space="preserve">Duplicata de V006369 no LOTE-05</t>
  </si>
  <si>
    <t xml:space="preserve">V009565</t>
  </si>
  <si>
    <t xml:space="preserve">Duplicata de V006379 no LOTE-05</t>
  </si>
  <si>
    <t xml:space="preserve">V009566</t>
  </si>
  <si>
    <t xml:space="preserve">Duplicata de V006416 no LOTE-05</t>
  </si>
  <si>
    <t xml:space="preserve">V009567</t>
  </si>
  <si>
    <t xml:space="preserve">Duplicata de V006424 no LOTE-05</t>
  </si>
  <si>
    <t xml:space="preserve">V009568</t>
  </si>
  <si>
    <t xml:space="preserve">Duplicata de V006438 no LOTE-05</t>
  </si>
  <si>
    <t xml:space="preserve">V009569</t>
  </si>
  <si>
    <t xml:space="preserve">Duplicata de V006457 no LOTE-05</t>
  </si>
  <si>
    <t xml:space="preserve">V009570</t>
  </si>
  <si>
    <t xml:space="preserve">Duplicata de V006509 no LOTE-05</t>
  </si>
  <si>
    <t xml:space="preserve">V009571</t>
  </si>
  <si>
    <t xml:space="preserve">Duplicata de V006511 no LOTE-05</t>
  </si>
  <si>
    <t xml:space="preserve">V009572</t>
  </si>
  <si>
    <t xml:space="preserve">Duplicata de V006513 no LOTE-05</t>
  </si>
  <si>
    <t xml:space="preserve">V009573</t>
  </si>
  <si>
    <t xml:space="preserve">Duplicata de V006520 no LOTE-05</t>
  </si>
  <si>
    <t xml:space="preserve">V009574</t>
  </si>
  <si>
    <t xml:space="preserve">Duplicata de V006527 no LOTE-05</t>
  </si>
  <si>
    <t xml:space="preserve">V009575</t>
  </si>
  <si>
    <t xml:space="preserve">Duplicata de V006537 no LOTE-05</t>
  </si>
  <si>
    <t xml:space="preserve">V009576</t>
  </si>
  <si>
    <t xml:space="preserve">Duplicata de V006565 no LOTE-05</t>
  </si>
  <si>
    <t xml:space="preserve">V009577</t>
  </si>
  <si>
    <t xml:space="preserve">Duplicata de V006594 no LOTE-05</t>
  </si>
  <si>
    <t xml:space="preserve">V009578</t>
  </si>
  <si>
    <t xml:space="preserve">Duplicata de V006603 no LOTE-05</t>
  </si>
  <si>
    <t xml:space="preserve">V009579</t>
  </si>
  <si>
    <t xml:space="preserve">Duplicata de V006607 no LOTE-05</t>
  </si>
  <si>
    <t xml:space="preserve">V009580</t>
  </si>
  <si>
    <t xml:space="preserve">Duplicata de V006625 no LOTE-05</t>
  </si>
  <si>
    <t xml:space="preserve">V009581</t>
  </si>
  <si>
    <t xml:space="preserve">Duplicata de V006643 no LOTE-05</t>
  </si>
  <si>
    <t xml:space="preserve">V009582</t>
  </si>
  <si>
    <t xml:space="preserve">Duplicata de V006665 no LOTE-05</t>
  </si>
  <si>
    <t xml:space="preserve">V009583</t>
  </si>
  <si>
    <t xml:space="preserve">Duplicata de V006667 no LOTE-05</t>
  </si>
  <si>
    <t xml:space="preserve">V009584</t>
  </si>
  <si>
    <t xml:space="preserve">Duplicata de V006676 no LOTE-05</t>
  </si>
  <si>
    <t xml:space="preserve">V009585</t>
  </si>
  <si>
    <t xml:space="preserve">Duplicata de V006679 no LOTE-05</t>
  </si>
  <si>
    <t xml:space="preserve">V009586</t>
  </si>
  <si>
    <t xml:space="preserve">Duplicata de V006681 no LOTE-05</t>
  </si>
  <si>
    <t xml:space="preserve">V009587</t>
  </si>
  <si>
    <t xml:space="preserve">Duplicata de V006683 no LOTE-05</t>
  </si>
  <si>
    <t xml:space="preserve">V009588</t>
  </si>
  <si>
    <t xml:space="preserve">Duplicata de V006701 no LOTE-05</t>
  </si>
  <si>
    <t xml:space="preserve">V009589</t>
  </si>
  <si>
    <t xml:space="preserve">Duplicata de V006729 no LOTE-05</t>
  </si>
  <si>
    <t xml:space="preserve">V009590</t>
  </si>
  <si>
    <t xml:space="preserve">Duplicata de V006742 no LOTE-05</t>
  </si>
  <si>
    <t xml:space="preserve">V009591</t>
  </si>
  <si>
    <t xml:space="preserve">Duplicata de V006778 no LOTE-05</t>
  </si>
  <si>
    <t xml:space="preserve">V009592</t>
  </si>
  <si>
    <t xml:space="preserve">Duplicata de V006786 no LOTE-05</t>
  </si>
  <si>
    <t xml:space="preserve">V009593</t>
  </si>
  <si>
    <t xml:space="preserve">Duplicata de V006807 no LOTE-05</t>
  </si>
  <si>
    <t xml:space="preserve">V009594</t>
  </si>
  <si>
    <t xml:space="preserve">Duplicata de V006810 no LOTE-05</t>
  </si>
  <si>
    <t xml:space="preserve">V009595</t>
  </si>
  <si>
    <t xml:space="preserve">Duplicata de V006813 no LOTE-05</t>
  </si>
  <si>
    <t xml:space="preserve">V009596</t>
  </si>
  <si>
    <t xml:space="preserve">Duplicata de V006835 no LOTE-05</t>
  </si>
  <si>
    <t xml:space="preserve">V009597</t>
  </si>
  <si>
    <t xml:space="preserve">Duplicata de V006849 no LOTE-05</t>
  </si>
  <si>
    <t xml:space="preserve">V009598</t>
  </si>
  <si>
    <t xml:space="preserve">Duplicata de V006859 no LOTE-05</t>
  </si>
  <si>
    <t xml:space="preserve">V009599</t>
  </si>
  <si>
    <t xml:space="preserve">Duplicata de V006869 no LOTE-05</t>
  </si>
  <si>
    <t xml:space="preserve">V009600</t>
  </si>
  <si>
    <t xml:space="preserve">Duplicata de V006874 no LOTE-05</t>
  </si>
  <si>
    <t xml:space="preserve">V009601</t>
  </si>
  <si>
    <t xml:space="preserve">Duplicata de V006895 no LOTE-05</t>
  </si>
  <si>
    <t xml:space="preserve">V009602</t>
  </si>
  <si>
    <t xml:space="preserve">Duplicata de V006898 no LOTE-05</t>
  </si>
  <si>
    <t xml:space="preserve">V009603</t>
  </si>
  <si>
    <t xml:space="preserve">Duplicata de V006907 no LOTE-05</t>
  </si>
  <si>
    <t xml:space="preserve">V009604</t>
  </si>
  <si>
    <t xml:space="preserve">Duplicata de V006930 no LOTE-05</t>
  </si>
  <si>
    <t xml:space="preserve">V009605</t>
  </si>
  <si>
    <t xml:space="preserve">Duplicata de V006956 no LOTE-05</t>
  </si>
  <si>
    <t xml:space="preserve">V009606</t>
  </si>
  <si>
    <t xml:space="preserve">Duplicata de V006960 no LOTE-05</t>
  </si>
  <si>
    <t xml:space="preserve">V009607</t>
  </si>
  <si>
    <t xml:space="preserve">Duplicata de V006968 no LOTE-05</t>
  </si>
  <si>
    <t xml:space="preserve">V009608</t>
  </si>
  <si>
    <t xml:space="preserve">Duplicata de V006976 no LOTE-05</t>
  </si>
  <si>
    <t xml:space="preserve">V009609</t>
  </si>
  <si>
    <t xml:space="preserve">Duplicata de V006978 no LOTE-05</t>
  </si>
  <si>
    <t xml:space="preserve">V009610</t>
  </si>
  <si>
    <t xml:space="preserve">Duplicata de V006980 no LOTE-05</t>
  </si>
  <si>
    <t xml:space="preserve">V009611</t>
  </si>
  <si>
    <t xml:space="preserve">Duplicata de V006983 no LOTE-05</t>
  </si>
  <si>
    <t xml:space="preserve">V009612</t>
  </si>
  <si>
    <t xml:space="preserve">Duplicata de V006988 no LOTE-05</t>
  </si>
  <si>
    <t xml:space="preserve">V009613</t>
  </si>
  <si>
    <t xml:space="preserve">Duplicata de V006990 no LOTE-05</t>
  </si>
  <si>
    <t xml:space="preserve">V009614</t>
  </si>
  <si>
    <t xml:space="preserve">Duplicata de V007064 no LOTE-05</t>
  </si>
  <si>
    <t xml:space="preserve">V009615</t>
  </si>
  <si>
    <t xml:space="preserve">Duplicata de V007066 no LOTE-05</t>
  </si>
  <si>
    <t xml:space="preserve">V009616</t>
  </si>
  <si>
    <t xml:space="preserve">Duplicata de V007082 no LOTE-05</t>
  </si>
  <si>
    <t xml:space="preserve">V009617</t>
  </si>
  <si>
    <t xml:space="preserve">Duplicata de V007090 no LOTE-05</t>
  </si>
  <si>
    <t xml:space="preserve">V009618</t>
  </si>
  <si>
    <t xml:space="preserve">Duplicata de V007143 no LOTE-05</t>
  </si>
  <si>
    <t xml:space="preserve">V009619</t>
  </si>
  <si>
    <t xml:space="preserve">Duplicata de V007158 no LOTE-05</t>
  </si>
  <si>
    <t xml:space="preserve">V009620</t>
  </si>
  <si>
    <t xml:space="preserve">Duplicata de V007165 no LOTE-05</t>
  </si>
  <si>
    <t xml:space="preserve">V009621</t>
  </si>
  <si>
    <t xml:space="preserve">Duplicata de V007173 no LOTE-05</t>
  </si>
  <si>
    <t xml:space="preserve">V009622</t>
  </si>
  <si>
    <t xml:space="preserve">Duplicata de V007182 no LOTE-05</t>
  </si>
  <si>
    <t xml:space="preserve">V009623</t>
  </si>
  <si>
    <t xml:space="preserve">Duplicata de V007201 no LOTE-05</t>
  </si>
  <si>
    <t xml:space="preserve">V009624</t>
  </si>
  <si>
    <t xml:space="preserve">Duplicata de V007208 no LOTE-05</t>
  </si>
  <si>
    <t xml:space="preserve">V009625</t>
  </si>
  <si>
    <t xml:space="preserve">Duplicata de V007232 no LOTE-05</t>
  </si>
  <si>
    <t xml:space="preserve">V009626</t>
  </si>
  <si>
    <t xml:space="preserve">Duplicata de V007236 no LOTE-05</t>
  </si>
  <si>
    <t xml:space="preserve">V009627</t>
  </si>
  <si>
    <t xml:space="preserve">Duplicata de V007237 no LOTE-05</t>
  </si>
  <si>
    <t xml:space="preserve">V009628</t>
  </si>
  <si>
    <t xml:space="preserve">Duplicata de V007246 no LOTE-05</t>
  </si>
  <si>
    <t xml:space="preserve">V009629</t>
  </si>
  <si>
    <t xml:space="preserve">Duplicata de V007255 no LOTE-05</t>
  </si>
  <si>
    <t xml:space="preserve">V009630</t>
  </si>
  <si>
    <t xml:space="preserve">Duplicata de V007259 no LOTE-05</t>
  </si>
  <si>
    <t xml:space="preserve">V009631</t>
  </si>
  <si>
    <t xml:space="preserve">Duplicata de V007269 no LOTE-05</t>
  </si>
  <si>
    <t xml:space="preserve">V009632</t>
  </si>
  <si>
    <t xml:space="preserve">Duplicata de V007270 no LOTE-05</t>
  </si>
  <si>
    <t xml:space="preserve">V009633</t>
  </si>
  <si>
    <t xml:space="preserve">Duplicata de V007272 no LOTE-05</t>
  </si>
  <si>
    <t xml:space="preserve">V009634</t>
  </si>
  <si>
    <t xml:space="preserve">Duplicata de V007278 no LOTE-05</t>
  </si>
  <si>
    <t xml:space="preserve">V009635</t>
  </si>
  <si>
    <t xml:space="preserve">Duplicata de V007286 no LOTE-05</t>
  </si>
  <si>
    <t xml:space="preserve">V009636</t>
  </si>
  <si>
    <t xml:space="preserve">Duplicata de V007310 no LOTE-05</t>
  </si>
  <si>
    <t xml:space="preserve">V009637</t>
  </si>
  <si>
    <t xml:space="preserve">Duplicata de V007311 no LOTE-05</t>
  </si>
  <si>
    <t xml:space="preserve">V009638</t>
  </si>
  <si>
    <t xml:space="preserve">Duplicata de V007347 no LOTE-05</t>
  </si>
  <si>
    <t xml:space="preserve">V009639</t>
  </si>
  <si>
    <t xml:space="preserve">Duplicata de V007362 no LOTE-05</t>
  </si>
  <si>
    <t xml:space="preserve">V009640</t>
  </si>
  <si>
    <t xml:space="preserve">Duplicata de V007396 no LOTE-05</t>
  </si>
  <si>
    <t xml:space="preserve">V009641</t>
  </si>
  <si>
    <t xml:space="preserve">Duplicata de V007412 no LOTE-05</t>
  </si>
  <si>
    <t xml:space="preserve">V009642</t>
  </si>
  <si>
    <t xml:space="preserve">Duplicata de V007419 no LOTE-05</t>
  </si>
  <si>
    <t xml:space="preserve">V009643</t>
  </si>
  <si>
    <t xml:space="preserve">Duplicata de V007427 no LOTE-05</t>
  </si>
  <si>
    <t xml:space="preserve">V009644</t>
  </si>
  <si>
    <t xml:space="preserve">Duplicata de V007433 no LOTE-05</t>
  </si>
  <si>
    <t xml:space="preserve">V009645</t>
  </si>
  <si>
    <t xml:space="preserve">Duplicata de V007446 no LOTE-05</t>
  </si>
  <si>
    <t xml:space="preserve">V009646</t>
  </si>
  <si>
    <t xml:space="preserve">Duplicata de V007455 no LOTE-05</t>
  </si>
  <si>
    <t xml:space="preserve">V009647</t>
  </si>
  <si>
    <t xml:space="preserve">Duplicata de V007522 no LOTE-05</t>
  </si>
  <si>
    <t xml:space="preserve">V009648</t>
  </si>
  <si>
    <t xml:space="preserve">Duplicata de V007562 no LOTE-05</t>
  </si>
  <si>
    <t xml:space="preserve">V009649</t>
  </si>
  <si>
    <t xml:space="preserve">Duplicata de V007583 no LOTE-05</t>
  </si>
  <si>
    <t xml:space="preserve">V009650</t>
  </si>
  <si>
    <t xml:space="preserve">Duplicata de V007590 no LOTE-05</t>
  </si>
  <si>
    <t xml:space="preserve">V009651</t>
  </si>
  <si>
    <t xml:space="preserve">Duplicata de V007604 no LOTE-05</t>
  </si>
  <si>
    <t xml:space="preserve">V009652</t>
  </si>
  <si>
    <t xml:space="preserve">Duplicata de V007605 no LOTE-05</t>
  </si>
  <si>
    <t xml:space="preserve">V009653</t>
  </si>
  <si>
    <t xml:space="preserve">Duplicata de V007617 no LOTE-05</t>
  </si>
  <si>
    <t xml:space="preserve">V009654</t>
  </si>
  <si>
    <t xml:space="preserve">Duplicata de V007626 no LOTE-05</t>
  </si>
  <si>
    <t xml:space="preserve">V009655</t>
  </si>
  <si>
    <t xml:space="preserve">Duplicata de V007643 no LOTE-05</t>
  </si>
  <si>
    <t xml:space="preserve">V009656</t>
  </si>
  <si>
    <t xml:space="preserve">Duplicata de V007673 no LOTE-05</t>
  </si>
  <si>
    <t xml:space="preserve">V009657</t>
  </si>
  <si>
    <t xml:space="preserve">Duplicata de V007684 no LOTE-05</t>
  </si>
  <si>
    <t xml:space="preserve">V009658</t>
  </si>
  <si>
    <t xml:space="preserve">Duplicata de V007711 no LOTE-05</t>
  </si>
  <si>
    <t xml:space="preserve">V009659</t>
  </si>
  <si>
    <t xml:space="preserve">Duplicata de V007727 no LOTE-05</t>
  </si>
  <si>
    <t xml:space="preserve">V009660</t>
  </si>
  <si>
    <t xml:space="preserve">Duplicata de V007735 no LOTE-05</t>
  </si>
  <si>
    <t xml:space="preserve">V009661</t>
  </si>
  <si>
    <t xml:space="preserve">Duplicata de V007742 no LOTE-05</t>
  </si>
  <si>
    <t xml:space="preserve">V009662</t>
  </si>
  <si>
    <t xml:space="preserve">Duplicata de V007746 no LOTE-05</t>
  </si>
  <si>
    <t xml:space="preserve">V009663</t>
  </si>
  <si>
    <t xml:space="preserve">Duplicata de V007752 no LOTE-05</t>
  </si>
  <si>
    <t xml:space="preserve">V009664</t>
  </si>
  <si>
    <t xml:space="preserve">Duplicata de V007753 no LOTE-05</t>
  </si>
  <si>
    <t xml:space="preserve">V009665</t>
  </si>
  <si>
    <t xml:space="preserve">Duplicata de V007760 no LOTE-05</t>
  </si>
  <si>
    <t xml:space="preserve">V009666</t>
  </si>
  <si>
    <t xml:space="preserve">Duplicata de V007798 no LOTE-05</t>
  </si>
  <si>
    <t xml:space="preserve">V009667</t>
  </si>
  <si>
    <t xml:space="preserve">Duplicata de V007802 no LOTE-05</t>
  </si>
  <si>
    <t xml:space="preserve">V009668</t>
  </si>
  <si>
    <t xml:space="preserve">Duplicata de V007803 no LOTE-05</t>
  </si>
  <si>
    <t xml:space="preserve">V009669</t>
  </si>
  <si>
    <t xml:space="preserve">Duplicata de V007807 no LOTE-05</t>
  </si>
  <si>
    <t xml:space="preserve">V009670</t>
  </si>
  <si>
    <t xml:space="preserve">Duplicata de V007815 no LOTE-05</t>
  </si>
  <si>
    <t xml:space="preserve">V009671</t>
  </si>
  <si>
    <t xml:space="preserve">Duplicata de V007916 no LOTE-05</t>
  </si>
  <si>
    <t xml:space="preserve">V009672</t>
  </si>
  <si>
    <t xml:space="preserve">Duplicata de V007926 no LOTE-05</t>
  </si>
  <si>
    <t xml:space="preserve">V009673</t>
  </si>
  <si>
    <t xml:space="preserve">Duplicata de V007931 no LOTE-05</t>
  </si>
  <si>
    <t xml:space="preserve">V009674</t>
  </si>
  <si>
    <t xml:space="preserve">Duplicata de V007966 no LOTE-05</t>
  </si>
  <si>
    <t xml:space="preserve">V009675</t>
  </si>
  <si>
    <t xml:space="preserve">Duplicata de V007967 no LOTE-05</t>
  </si>
  <si>
    <t xml:space="preserve">V009676</t>
  </si>
  <si>
    <t xml:space="preserve">Duplicata de V007977 no LOTE-05</t>
  </si>
  <si>
    <t xml:space="preserve">V009677</t>
  </si>
  <si>
    <t xml:space="preserve">Duplicata de V007979 no LOTE-05</t>
  </si>
  <si>
    <t xml:space="preserve">V009678</t>
  </si>
  <si>
    <t xml:space="preserve">Duplicata de V007995 no LOTE-05</t>
  </si>
  <si>
    <t xml:space="preserve">V009679</t>
  </si>
  <si>
    <t xml:space="preserve">Duplicata de V008002 no LOTE-05</t>
  </si>
  <si>
    <t xml:space="preserve">V009680</t>
  </si>
  <si>
    <t xml:space="preserve">Duplicata de V008004 no LOTE-05</t>
  </si>
  <si>
    <t xml:space="preserve">V009681</t>
  </si>
  <si>
    <t xml:space="preserve">Duplicata de V008009 no LOTE-05</t>
  </si>
  <si>
    <t xml:space="preserve">V009682</t>
  </si>
  <si>
    <t xml:space="preserve">Duplicata de V008020 no LOTE-05</t>
  </si>
  <si>
    <t xml:space="preserve">V009683</t>
  </si>
  <si>
    <t xml:space="preserve">Duplicata de V008044 no LOTE-05</t>
  </si>
  <si>
    <t xml:space="preserve">V009684</t>
  </si>
  <si>
    <t xml:space="preserve">Duplicata de V008070 no LOTE-05</t>
  </si>
  <si>
    <t xml:space="preserve">V009685</t>
  </si>
  <si>
    <t xml:space="preserve">Duplicata de V008072 no LOTE-05</t>
  </si>
  <si>
    <t xml:space="preserve">V009686</t>
  </si>
  <si>
    <t xml:space="preserve">Duplicata de V008098 no LOTE-05</t>
  </si>
  <si>
    <t xml:space="preserve">V009687</t>
  </si>
  <si>
    <t xml:space="preserve">Duplicata de V008126 no LOTE-05</t>
  </si>
  <si>
    <t xml:space="preserve">V009688</t>
  </si>
  <si>
    <t xml:space="preserve">Duplicata de V008135 no LOTE-05</t>
  </si>
  <si>
    <t xml:space="preserve">V009689</t>
  </si>
  <si>
    <t xml:space="preserve">Duplicata de V008140 no LOTE-05</t>
  </si>
  <si>
    <t xml:space="preserve">V009690</t>
  </si>
  <si>
    <t xml:space="preserve">Duplicata de V008142 no LOTE-05</t>
  </si>
  <si>
    <t xml:space="preserve">V009691</t>
  </si>
  <si>
    <t xml:space="preserve">Duplicata de V008146 no LOTE-05</t>
  </si>
  <si>
    <t xml:space="preserve">V009692</t>
  </si>
  <si>
    <t xml:space="preserve">Duplicata de V008147 no LOTE-05</t>
  </si>
  <si>
    <t xml:space="preserve">V009693</t>
  </si>
  <si>
    <t xml:space="preserve">Duplicata de V008159 no LOTE-05</t>
  </si>
  <si>
    <t xml:space="preserve">V009694</t>
  </si>
  <si>
    <t xml:space="preserve">Duplicata de V008171 no LOTE-05</t>
  </si>
  <si>
    <t xml:space="preserve">V009695</t>
  </si>
  <si>
    <t xml:space="preserve">Duplicata de V008195 no LOTE-05</t>
  </si>
  <si>
    <t xml:space="preserve">V009696</t>
  </si>
  <si>
    <t xml:space="preserve">Duplicata de V008207 no LOTE-05</t>
  </si>
  <si>
    <t xml:space="preserve">V009697</t>
  </si>
  <si>
    <t xml:space="preserve">Duplicata de V008220 no LOTE-05</t>
  </si>
  <si>
    <t xml:space="preserve">V009698</t>
  </si>
  <si>
    <t xml:space="preserve">Duplicata de V008238 no LOTE-05</t>
  </si>
  <si>
    <t xml:space="preserve">V009699</t>
  </si>
  <si>
    <t xml:space="preserve">Duplicata de V008241 no LOTE-05</t>
  </si>
  <si>
    <t xml:space="preserve">V009700</t>
  </si>
  <si>
    <t xml:space="preserve">Duplicata de V008280 no LOTE-05</t>
  </si>
  <si>
    <t xml:space="preserve">V009701</t>
  </si>
  <si>
    <t xml:space="preserve">Duplicata de V008283 no LOTE-05</t>
  </si>
  <si>
    <t xml:space="preserve">V009702</t>
  </si>
  <si>
    <t xml:space="preserve">Duplicata de V008290 no LOTE-05</t>
  </si>
  <si>
    <t xml:space="preserve">V009703</t>
  </si>
  <si>
    <t xml:space="preserve">Duplicata de V008296 no LOTE-05</t>
  </si>
  <si>
    <t xml:space="preserve">V009704</t>
  </si>
  <si>
    <t xml:space="preserve">Duplicata de V008299 no LOTE-05</t>
  </si>
  <si>
    <t xml:space="preserve">V009705</t>
  </si>
  <si>
    <t xml:space="preserve">Duplicata de V008303 no LOTE-05</t>
  </si>
  <si>
    <t xml:space="preserve">V009706</t>
  </si>
  <si>
    <t xml:space="preserve">Duplicata de V008329 no LOTE-05</t>
  </si>
  <si>
    <t xml:space="preserve">V009707</t>
  </si>
  <si>
    <t xml:space="preserve">Duplicata de V008366 no LOTE-05</t>
  </si>
  <si>
    <t xml:space="preserve">V009708</t>
  </si>
  <si>
    <t xml:space="preserve">Duplicata de V008370 no LOTE-05</t>
  </si>
  <si>
    <t xml:space="preserve">V009709</t>
  </si>
  <si>
    <t xml:space="preserve">Duplicata de V008379 no LOTE-05</t>
  </si>
  <si>
    <t xml:space="preserve">V009710</t>
  </si>
  <si>
    <t xml:space="preserve">Duplicata de V008393 no LOTE-05</t>
  </si>
  <si>
    <t xml:space="preserve">V009711</t>
  </si>
  <si>
    <t xml:space="preserve">Duplicata de V008414 no LOTE-05</t>
  </si>
  <si>
    <t xml:space="preserve">V009712</t>
  </si>
  <si>
    <t xml:space="preserve">Duplicata de V008425 no LOTE-05</t>
  </si>
  <si>
    <t xml:space="preserve">V009713</t>
  </si>
  <si>
    <t xml:space="preserve">Duplicata de V008428 no LOTE-05</t>
  </si>
  <si>
    <t xml:space="preserve">V009714</t>
  </si>
  <si>
    <t xml:space="preserve">Duplicata de V008430 no LOTE-05</t>
  </si>
  <si>
    <t xml:space="preserve">V009715</t>
  </si>
  <si>
    <t xml:space="preserve">Duplicata de V008432 no LOTE-05</t>
  </si>
  <si>
    <t xml:space="preserve">V009716</t>
  </si>
  <si>
    <t xml:space="preserve">Duplicata de V008451 no LOTE-05</t>
  </si>
  <si>
    <t xml:space="preserve">V009717</t>
  </si>
  <si>
    <t xml:space="preserve">Duplicata de V008453 no LOTE-05</t>
  </si>
  <si>
    <t xml:space="preserve">V009718</t>
  </si>
  <si>
    <t xml:space="preserve">Duplicata de V008458 no LOTE-05</t>
  </si>
  <si>
    <t xml:space="preserve">V009719</t>
  </si>
  <si>
    <t xml:space="preserve">Duplicata de V008463 no LOTE-05</t>
  </si>
  <si>
    <t xml:space="preserve">V009720</t>
  </si>
  <si>
    <t xml:space="preserve">Duplicata de V008465 no LOTE-05</t>
  </si>
  <si>
    <t xml:space="preserve">V009721</t>
  </si>
  <si>
    <t xml:space="preserve">Duplicata de V008481 no LOTE-05</t>
  </si>
  <si>
    <t xml:space="preserve">V009722</t>
  </si>
  <si>
    <t xml:space="preserve">Duplicata de V008512 no LOTE-05</t>
  </si>
  <si>
    <t xml:space="preserve">V009723</t>
  </si>
  <si>
    <t xml:space="preserve">Duplicata de V008520 no LOTE-05</t>
  </si>
  <si>
    <t xml:space="preserve">V009724</t>
  </si>
  <si>
    <t xml:space="preserve">Duplicata de V008555 no LOTE-05</t>
  </si>
  <si>
    <t xml:space="preserve">V009725</t>
  </si>
  <si>
    <t xml:space="preserve">Duplicata de V008573 no LOTE-05</t>
  </si>
  <si>
    <t xml:space="preserve">V009726</t>
  </si>
  <si>
    <t xml:space="preserve">Duplicata de V008583 no LOTE-05</t>
  </si>
  <si>
    <t xml:space="preserve">V009727</t>
  </si>
  <si>
    <t xml:space="preserve">Duplicata de V008620 no LOTE-05</t>
  </si>
  <si>
    <t xml:space="preserve">V009728</t>
  </si>
  <si>
    <t xml:space="preserve">Duplicata de V008624 no LOTE-05</t>
  </si>
  <si>
    <t xml:space="preserve">V009729</t>
  </si>
  <si>
    <t xml:space="preserve">Duplicata de V008642 no LOTE-05</t>
  </si>
  <si>
    <t xml:space="preserve">V009730</t>
  </si>
  <si>
    <t xml:space="preserve">Duplicata de V008646 no LOTE-05</t>
  </si>
  <si>
    <t xml:space="preserve">V009731</t>
  </si>
  <si>
    <t xml:space="preserve">Duplicata de V008666 no LOTE-05</t>
  </si>
  <si>
    <t xml:space="preserve">V009732</t>
  </si>
  <si>
    <t xml:space="preserve">Duplicata de V008689 no LOTE-05</t>
  </si>
  <si>
    <t xml:space="preserve">V009733</t>
  </si>
  <si>
    <t xml:space="preserve">Duplicata de V008694 no LOTE-05</t>
  </si>
  <si>
    <t xml:space="preserve">V009734</t>
  </si>
  <si>
    <t xml:space="preserve">Duplicata de V008696 no LOTE-05</t>
  </si>
  <si>
    <t xml:space="preserve">V009735</t>
  </si>
  <si>
    <t xml:space="preserve">Duplicata de V008708 no LOTE-05</t>
  </si>
  <si>
    <t xml:space="preserve">V009736</t>
  </si>
  <si>
    <t xml:space="preserve">Duplicata de V008730 no LOTE-05</t>
  </si>
  <si>
    <t xml:space="preserve">V009737</t>
  </si>
  <si>
    <t xml:space="preserve">Duplicata de V008764 no LOTE-05</t>
  </si>
  <si>
    <t xml:space="preserve">V009738</t>
  </si>
  <si>
    <t xml:space="preserve">Duplicata de V008782 no LOTE-05</t>
  </si>
  <si>
    <t xml:space="preserve">V009739</t>
  </si>
  <si>
    <t xml:space="preserve">Duplicata de V008787 no LOTE-05</t>
  </si>
  <si>
    <t xml:space="preserve">V009740</t>
  </si>
  <si>
    <t xml:space="preserve">Duplicata de V008808 no LOTE-05</t>
  </si>
  <si>
    <t xml:space="preserve">V009741</t>
  </si>
  <si>
    <t xml:space="preserve">Duplicata de V008821 no LOTE-05</t>
  </si>
  <si>
    <t xml:space="preserve">V009742</t>
  </si>
  <si>
    <t xml:space="preserve">Duplicata de V008836 no LOTE-05</t>
  </si>
  <si>
    <t xml:space="preserve">V009743</t>
  </si>
  <si>
    <t xml:space="preserve">Duplicata de V008855 no LOTE-05</t>
  </si>
  <si>
    <t xml:space="preserve">V009744</t>
  </si>
  <si>
    <t xml:space="preserve">Duplicata de V008872 no LOTE-05</t>
  </si>
  <si>
    <t xml:space="preserve">V009745</t>
  </si>
  <si>
    <t xml:space="preserve">Duplicata de V008893 no LOTE-05</t>
  </si>
  <si>
    <t xml:space="preserve">V009746</t>
  </si>
  <si>
    <t xml:space="preserve">Duplicata de V008899 no LOTE-05</t>
  </si>
  <si>
    <t xml:space="preserve">V009747</t>
  </si>
  <si>
    <t xml:space="preserve">Duplicata de V008905 no LOTE-05</t>
  </si>
  <si>
    <t xml:space="preserve">V009748</t>
  </si>
  <si>
    <t xml:space="preserve">Duplicata de V008961 no LOTE-05</t>
  </si>
  <si>
    <t xml:space="preserve">V009749</t>
  </si>
  <si>
    <t xml:space="preserve">Duplicata de V008972 no LOTE-05</t>
  </si>
  <si>
    <t xml:space="preserve">V009750</t>
  </si>
  <si>
    <t xml:space="preserve">Duplicata de V008977 no LOTE-05</t>
  </si>
  <si>
    <t xml:space="preserve">V009751</t>
  </si>
  <si>
    <t xml:space="preserve">Duplicata de V008995 no LOTE-05</t>
  </si>
  <si>
    <t xml:space="preserve">V009752</t>
  </si>
  <si>
    <t xml:space="preserve">Duplicata de V006714 no LOTE-09</t>
  </si>
  <si>
    <t xml:space="preserve">V009753</t>
  </si>
  <si>
    <t xml:space="preserve">Duplicata de V005561 no LOTE-09</t>
  </si>
  <si>
    <t xml:space="preserve">V009754</t>
  </si>
  <si>
    <t xml:space="preserve">Duplicata de V001654 no LOTE-09</t>
  </si>
  <si>
    <t xml:space="preserve">V009755</t>
  </si>
  <si>
    <t xml:space="preserve">Duplicata de V000238 no LOTE-09</t>
  </si>
  <si>
    <t xml:space="preserve">V009756</t>
  </si>
  <si>
    <t xml:space="preserve">Duplicata de V000126 no LOTE-09</t>
  </si>
  <si>
    <t xml:space="preserve">V009757</t>
  </si>
  <si>
    <t xml:space="preserve">Duplicata de V002291 no LOTE-09</t>
  </si>
  <si>
    <t xml:space="preserve">V009758</t>
  </si>
  <si>
    <t xml:space="preserve">Duplicata de V003043 no LOTE-09</t>
  </si>
  <si>
    <t xml:space="preserve">V009759</t>
  </si>
  <si>
    <t xml:space="preserve">Duplicata de V004677 no LOTE-09</t>
  </si>
  <si>
    <t xml:space="preserve">V009760</t>
  </si>
  <si>
    <t xml:space="preserve">Duplicata de V001099 no LOTE-09</t>
  </si>
  <si>
    <t xml:space="preserve">V009761</t>
  </si>
  <si>
    <t xml:space="preserve">Duplicata de V008625 no LOTE-09</t>
  </si>
  <si>
    <t xml:space="preserve">V009762</t>
  </si>
  <si>
    <t xml:space="preserve">Duplicata de V001919 no LOTE-09</t>
  </si>
  <si>
    <t xml:space="preserve">V009763</t>
  </si>
  <si>
    <t xml:space="preserve">Duplicata de V000362 no LOTE-09</t>
  </si>
  <si>
    <t xml:space="preserve">V009764</t>
  </si>
  <si>
    <t xml:space="preserve">Duplicata de V008113 no LOTE-09</t>
  </si>
  <si>
    <t xml:space="preserve">V009765</t>
  </si>
  <si>
    <t xml:space="preserve">Duplicata de V003690 no LOTE-09</t>
  </si>
  <si>
    <t xml:space="preserve">V009766</t>
  </si>
  <si>
    <t xml:space="preserve">Duplicata de V004827 no LOTE-09</t>
  </si>
  <si>
    <t xml:space="preserve">V009767</t>
  </si>
  <si>
    <t xml:space="preserve">Duplicata de V007748 no LOTE-09</t>
  </si>
  <si>
    <t xml:space="preserve">V009768</t>
  </si>
  <si>
    <t xml:space="preserve">Duplicata de V005023 no LOTE-09</t>
  </si>
  <si>
    <t xml:space="preserve">V009769</t>
  </si>
  <si>
    <t xml:space="preserve">Duplicata de V007720 no LOTE-09</t>
  </si>
  <si>
    <t xml:space="preserve">V009770</t>
  </si>
  <si>
    <t xml:space="preserve">Duplicata de V001520 no LOTE-09</t>
  </si>
  <si>
    <t xml:space="preserve">V009771</t>
  </si>
  <si>
    <t xml:space="preserve">Duplicata de V004515 no LOTE-09</t>
  </si>
  <si>
    <t xml:space="preserve">V009772</t>
  </si>
  <si>
    <t xml:space="preserve">Duplicata de V006361 no LOTE-09</t>
  </si>
  <si>
    <t xml:space="preserve">V009773</t>
  </si>
  <si>
    <t xml:space="preserve">Duplicata de V002775 no LOTE-09</t>
  </si>
  <si>
    <t xml:space="preserve">V009774</t>
  </si>
  <si>
    <t xml:space="preserve">Duplicata de V003702 no LOTE-09</t>
  </si>
  <si>
    <t xml:space="preserve">V009775</t>
  </si>
  <si>
    <t xml:space="preserve">Duplicata de V007884 no LOTE-09</t>
  </si>
  <si>
    <t xml:space="preserve">V009776</t>
  </si>
  <si>
    <t xml:space="preserve">Duplicata de V008747 no LOTE-09</t>
  </si>
  <si>
    <t xml:space="preserve">V009777</t>
  </si>
  <si>
    <t xml:space="preserve">Duplicata de V002622 no LOTE-09</t>
  </si>
  <si>
    <t xml:space="preserve">V009778</t>
  </si>
  <si>
    <t xml:space="preserve">Duplicata de V007479 no LOTE-09</t>
  </si>
  <si>
    <t xml:space="preserve">V009779</t>
  </si>
  <si>
    <t xml:space="preserve">Duplicata de V004616 no LOTE-09</t>
  </si>
  <si>
    <t xml:space="preserve">V009780</t>
  </si>
  <si>
    <t xml:space="preserve">Duplicata de V008253 no LOTE-09</t>
  </si>
  <si>
    <t xml:space="preserve">V009781</t>
  </si>
  <si>
    <t xml:space="preserve">Duplicata de V008662 no LOTE-09</t>
  </si>
  <si>
    <t xml:space="preserve">V009782</t>
  </si>
  <si>
    <t xml:space="preserve">Duplicata de V005546 no LOTE-09</t>
  </si>
  <si>
    <t xml:space="preserve">V009783</t>
  </si>
  <si>
    <t xml:space="preserve">Duplicata de V002698 no LOTE-09</t>
  </si>
  <si>
    <t xml:space="preserve">V009784</t>
  </si>
  <si>
    <t xml:space="preserve">Duplicata de V002753 no LOTE-09</t>
  </si>
  <si>
    <t xml:space="preserve">V009785</t>
  </si>
  <si>
    <t xml:space="preserve">Duplicata de V006420 no LOTE-09</t>
  </si>
  <si>
    <t xml:space="preserve">V009786</t>
  </si>
  <si>
    <t xml:space="preserve">Duplicata de V004718 no LOTE-09</t>
  </si>
  <si>
    <t xml:space="preserve">V009787</t>
  </si>
  <si>
    <t xml:space="preserve">Duplicata de V007499 no LOTE-09</t>
  </si>
  <si>
    <t xml:space="preserve">V009788</t>
  </si>
  <si>
    <t xml:space="preserve">Duplicata de V006909 no LOTE-09</t>
  </si>
  <si>
    <t xml:space="preserve">V009789</t>
  </si>
  <si>
    <t xml:space="preserve">Duplicata de V003739 no LOTE-09</t>
  </si>
  <si>
    <t xml:space="preserve">V009790</t>
  </si>
  <si>
    <t xml:space="preserve">Duplicata de V007790 no LOTE-09</t>
  </si>
  <si>
    <t xml:space="preserve">V009791</t>
  </si>
  <si>
    <t xml:space="preserve">Duplicata de V001233 no LOTE-09</t>
  </si>
  <si>
    <t xml:space="preserve">V009792</t>
  </si>
  <si>
    <t xml:space="preserve">Duplicata de V003334 no LOTE-09</t>
  </si>
  <si>
    <t xml:space="preserve">V009793</t>
  </si>
  <si>
    <t xml:space="preserve">Duplicata de V007289 no LOTE-09</t>
  </si>
  <si>
    <t xml:space="preserve">V009794</t>
  </si>
  <si>
    <t xml:space="preserve">Duplicata de V006384 no LOTE-09</t>
  </si>
  <si>
    <t xml:space="preserve">V009795</t>
  </si>
  <si>
    <t xml:space="preserve">Duplicata de V007110 no LOTE-09</t>
  </si>
  <si>
    <t xml:space="preserve">V009796</t>
  </si>
  <si>
    <t xml:space="preserve">Duplicata de V008979 no LOTE-09</t>
  </si>
  <si>
    <t xml:space="preserve">V009797</t>
  </si>
  <si>
    <t xml:space="preserve">Duplicata de V000029 no LOTE-09</t>
  </si>
  <si>
    <t xml:space="preserve">V009798</t>
  </si>
  <si>
    <t xml:space="preserve">Duplicata de V001544 no LOTE-09</t>
  </si>
  <si>
    <t xml:space="preserve">V009799</t>
  </si>
  <si>
    <t xml:space="preserve">Duplicata de V007461 no LOTE-09</t>
  </si>
  <si>
    <t xml:space="preserve">V009800</t>
  </si>
  <si>
    <t xml:space="preserve">Duplicata de V006929 no LOTE-09</t>
  </si>
  <si>
    <t xml:space="preserve">V009801</t>
  </si>
  <si>
    <t xml:space="preserve">Duplicata de V001278 no LOTE-09</t>
  </si>
  <si>
    <t xml:space="preserve">V009802</t>
  </si>
  <si>
    <t xml:space="preserve">Duplicata de V008218 no LOTE-09</t>
  </si>
  <si>
    <t xml:space="preserve">V009803</t>
  </si>
  <si>
    <t xml:space="preserve">Duplicata de V001275 no LOTE-09</t>
  </si>
  <si>
    <t xml:space="preserve">V009804</t>
  </si>
  <si>
    <t xml:space="preserve">Duplicata de V001646 no LOTE-09</t>
  </si>
  <si>
    <t xml:space="preserve">V009805</t>
  </si>
  <si>
    <t xml:space="preserve">Duplicata de V003148 no LOTE-09</t>
  </si>
  <si>
    <t xml:space="preserve">V009806</t>
  </si>
  <si>
    <t xml:space="preserve">Duplicata de V003174 no LOTE-09</t>
  </si>
  <si>
    <t xml:space="preserve">V009807</t>
  </si>
  <si>
    <t xml:space="preserve">Duplicata de V008478 no LOTE-09</t>
  </si>
  <si>
    <t xml:space="preserve">V009808</t>
  </si>
  <si>
    <t xml:space="preserve">Duplicata de V007990 no LOTE-09</t>
  </si>
  <si>
    <t xml:space="preserve">V009809</t>
  </si>
  <si>
    <t xml:space="preserve">Duplicata de V004418 no LOTE-09</t>
  </si>
  <si>
    <t xml:space="preserve">V009810</t>
  </si>
  <si>
    <t xml:space="preserve">Duplicata de V002215 no LOTE-09</t>
  </si>
  <si>
    <t xml:space="preserve">V009811</t>
  </si>
  <si>
    <t xml:space="preserve">Duplicata de V002815 no LOTE-09</t>
  </si>
  <si>
    <t xml:space="preserve">V009812</t>
  </si>
  <si>
    <t xml:space="preserve">Duplicata de V002702 no LOTE-09</t>
  </si>
  <si>
    <t xml:space="preserve">V009813</t>
  </si>
  <si>
    <t xml:space="preserve">Duplicata de V001330 no LOTE-09</t>
  </si>
  <si>
    <t xml:space="preserve">V009814</t>
  </si>
  <si>
    <t xml:space="preserve">Duplicata de V003726 no LOTE-09</t>
  </si>
  <si>
    <t xml:space="preserve">V009815</t>
  </si>
  <si>
    <t xml:space="preserve">Duplicata de V003201 no LOTE-09</t>
  </si>
  <si>
    <t xml:space="preserve">V009816</t>
  </si>
  <si>
    <t xml:space="preserve">Duplicata de V002257 no LOTE-09</t>
  </si>
  <si>
    <t xml:space="preserve">V009817</t>
  </si>
  <si>
    <t xml:space="preserve">Duplicata de V003821 no LOTE-09</t>
  </si>
  <si>
    <t xml:space="preserve">V009818</t>
  </si>
  <si>
    <t xml:space="preserve">Duplicata de V001207 no LOTE-09</t>
  </si>
  <si>
    <t xml:space="preserve">V009819</t>
  </si>
  <si>
    <t xml:space="preserve">Duplicata de V005825 no LOTE-09</t>
  </si>
  <si>
    <t xml:space="preserve">V009820</t>
  </si>
  <si>
    <t xml:space="preserve">Duplicata de V000127 no LOTE-09</t>
  </si>
  <si>
    <t xml:space="preserve">V009821</t>
  </si>
  <si>
    <t xml:space="preserve">Duplicata de V006302 no LOTE-09</t>
  </si>
  <si>
    <t xml:space="preserve">V009822</t>
  </si>
  <si>
    <t xml:space="preserve">Duplicata de V001361 no LOTE-09</t>
  </si>
  <si>
    <t xml:space="preserve">V009823</t>
  </si>
  <si>
    <t xml:space="preserve">Duplicata de V002037 no LOTE-09</t>
  </si>
  <si>
    <t xml:space="preserve">V009824</t>
  </si>
  <si>
    <t xml:space="preserve">Duplicata de V006591 no LOTE-09</t>
  </si>
  <si>
    <t xml:space="preserve">V009825</t>
  </si>
  <si>
    <t xml:space="preserve">Duplicata de V006784 no LOTE-09</t>
  </si>
  <si>
    <t xml:space="preserve">V009826</t>
  </si>
  <si>
    <t xml:space="preserve">Duplicata de V006503 no LOTE-09</t>
  </si>
  <si>
    <t xml:space="preserve">V009827</t>
  </si>
  <si>
    <t xml:space="preserve">Duplicata de V007898 no LOTE-09</t>
  </si>
  <si>
    <t xml:space="preserve">V009828</t>
  </si>
  <si>
    <t xml:space="preserve">Duplicata de V005435 no LOTE-09</t>
  </si>
  <si>
    <t xml:space="preserve">V009829</t>
  </si>
  <si>
    <t xml:space="preserve">Duplicata de V003293 no LOTE-09</t>
  </si>
  <si>
    <t xml:space="preserve">V009830</t>
  </si>
  <si>
    <t xml:space="preserve">Duplicata de V003433 no LOTE-09</t>
  </si>
  <si>
    <t xml:space="preserve">V009831</t>
  </si>
  <si>
    <t xml:space="preserve">Duplicata de V006884 no LOTE-09</t>
  </si>
  <si>
    <t xml:space="preserve">V009832</t>
  </si>
  <si>
    <t xml:space="preserve">Duplicata de V008092 no LOTE-09</t>
  </si>
  <si>
    <t xml:space="preserve">V009833</t>
  </si>
  <si>
    <t xml:space="preserve">Duplicata de V000560 no LOTE-09</t>
  </si>
  <si>
    <t xml:space="preserve">V009834</t>
  </si>
  <si>
    <t xml:space="preserve">Duplicata de V008605 no LOTE-09</t>
  </si>
  <si>
    <t xml:space="preserve">V009835</t>
  </si>
  <si>
    <t xml:space="preserve">Duplicata de V001042 no LOTE-09</t>
  </si>
  <si>
    <t xml:space="preserve">V009836</t>
  </si>
  <si>
    <t xml:space="preserve">Duplicata de V002549 no LOTE-09</t>
  </si>
  <si>
    <t xml:space="preserve">V009837</t>
  </si>
  <si>
    <t xml:space="preserve">Duplicata de V002332 no LOTE-09</t>
  </si>
  <si>
    <t xml:space="preserve">V009838</t>
  </si>
  <si>
    <t xml:space="preserve">Duplicata de V007983 no LOTE-09</t>
  </si>
  <si>
    <t xml:space="preserve">V009839</t>
  </si>
  <si>
    <t xml:space="preserve">Duplicata de V000759 no LOTE-09</t>
  </si>
  <si>
    <t xml:space="preserve">V009840</t>
  </si>
  <si>
    <t xml:space="preserve">Duplicata de V006862 no LOTE-09</t>
  </si>
  <si>
    <t xml:space="preserve">V009841</t>
  </si>
  <si>
    <t xml:space="preserve">Duplicata de V001971 no LOTE-09</t>
  </si>
  <si>
    <t xml:space="preserve">V009842</t>
  </si>
  <si>
    <t xml:space="preserve">Duplicata de V002443 no LOTE-09</t>
  </si>
  <si>
    <t xml:space="preserve">V009843</t>
  </si>
  <si>
    <t xml:space="preserve">Duplicata de V000839 no LOTE-09</t>
  </si>
  <si>
    <t xml:space="preserve">V009844</t>
  </si>
  <si>
    <t xml:space="preserve">Duplicata de V004175 no LOTE-09</t>
  </si>
  <si>
    <t xml:space="preserve">V009845</t>
  </si>
  <si>
    <t xml:space="preserve">Duplicata de V003888 no LOTE-09</t>
  </si>
  <si>
    <t xml:space="preserve">V009846</t>
  </si>
  <si>
    <t xml:space="preserve">Duplicata de V006975 no LOTE-09</t>
  </si>
  <si>
    <t xml:space="preserve">V009847</t>
  </si>
  <si>
    <t xml:space="preserve">Duplicata de V004046 no LOTE-09</t>
  </si>
  <si>
    <t xml:space="preserve">V009848</t>
  </si>
  <si>
    <t xml:space="preserve">Duplicata de V003285 no LOTE-09</t>
  </si>
  <si>
    <t xml:space="preserve">V009849</t>
  </si>
  <si>
    <t xml:space="preserve">Duplicata de V004366 no LOTE-09</t>
  </si>
  <si>
    <t xml:space="preserve">V009850</t>
  </si>
  <si>
    <t xml:space="preserve">Duplicata de V001538 no LOTE-09</t>
  </si>
  <si>
    <t xml:space="preserve">V009851</t>
  </si>
  <si>
    <t xml:space="preserve">Duplicata de V006600 no LOTE-09</t>
  </si>
  <si>
    <t xml:space="preserve">V009852</t>
  </si>
  <si>
    <t xml:space="preserve">Duplicata de V006925 no LOTE-09</t>
  </si>
  <si>
    <t xml:space="preserve">V009853</t>
  </si>
  <si>
    <t xml:space="preserve">Duplicata de V008718 no LOTE-09</t>
  </si>
  <si>
    <t xml:space="preserve">V009854</t>
  </si>
  <si>
    <t xml:space="preserve">Duplicata de V008875 no LOTE-09</t>
  </si>
  <si>
    <t xml:space="preserve">V009855</t>
  </si>
  <si>
    <t xml:space="preserve">Duplicata de V005427 no LOTE-09</t>
  </si>
  <si>
    <t xml:space="preserve">V009856</t>
  </si>
  <si>
    <t xml:space="preserve">Duplicata de V003569 no LOTE-09</t>
  </si>
  <si>
    <t xml:space="preserve">V009857</t>
  </si>
  <si>
    <t xml:space="preserve">Duplicata de V008853 no LOTE-09</t>
  </si>
  <si>
    <t xml:space="preserve">V009858</t>
  </si>
  <si>
    <t xml:space="preserve">Duplicata de V004676 no LOTE-09</t>
  </si>
  <si>
    <t xml:space="preserve">V009859</t>
  </si>
  <si>
    <t xml:space="preserve">Duplicata de V006405 no LOTE-09</t>
  </si>
  <si>
    <t xml:space="preserve">V009860</t>
  </si>
  <si>
    <t xml:space="preserve">Duplicata de V007814 no LOTE-09</t>
  </si>
  <si>
    <t xml:space="preserve">V009861</t>
  </si>
  <si>
    <t xml:space="preserve">Duplicata de V000504 no LOTE-09</t>
  </si>
  <si>
    <t xml:space="preserve">V009862</t>
  </si>
  <si>
    <t xml:space="preserve">Duplicata de V003999 no LOTE-09</t>
  </si>
  <si>
    <t xml:space="preserve">V009863</t>
  </si>
  <si>
    <t xml:space="preserve">Duplicata de V001965 no LOTE-09</t>
  </si>
  <si>
    <t xml:space="preserve">V009864</t>
  </si>
  <si>
    <t xml:space="preserve">Duplicata de V004550 no LOTE-09</t>
  </si>
  <si>
    <t xml:space="preserve">V009865</t>
  </si>
  <si>
    <t xml:space="preserve">Duplicata de V000185 no LOTE-09</t>
  </si>
  <si>
    <t xml:space="preserve">V009866</t>
  </si>
  <si>
    <t xml:space="preserve">Duplicata de V000169 no LOTE-09</t>
  </si>
  <si>
    <t xml:space="preserve">V009867</t>
  </si>
  <si>
    <t xml:space="preserve">Duplicata de V002493 no LOTE-09</t>
  </si>
  <si>
    <t xml:space="preserve">V009868</t>
  </si>
  <si>
    <t xml:space="preserve">Duplicata de V006897 no LOTE-09</t>
  </si>
  <si>
    <t xml:space="preserve">V009869</t>
  </si>
  <si>
    <t xml:space="preserve">Duplicata de V004047 no LOTE-09</t>
  </si>
  <si>
    <t xml:space="preserve">V009870</t>
  </si>
  <si>
    <t xml:space="preserve">Duplicata de V002249 no LOTE-09</t>
  </si>
  <si>
    <t xml:space="preserve">V009871</t>
  </si>
  <si>
    <t xml:space="preserve">Duplicata de V001853 no LOTE-09</t>
  </si>
  <si>
    <t xml:space="preserve">V009872</t>
  </si>
  <si>
    <t xml:space="preserve">Duplicata de V003813 no LOTE-09</t>
  </si>
  <si>
    <t xml:space="preserve">V009873</t>
  </si>
  <si>
    <t xml:space="preserve">Duplicata de V001359 no LOTE-09</t>
  </si>
  <si>
    <t xml:space="preserve">V009874</t>
  </si>
  <si>
    <t xml:space="preserve">Duplicata de V006715 no LOTE-09</t>
  </si>
  <si>
    <t xml:space="preserve">V009875</t>
  </si>
  <si>
    <t xml:space="preserve">Duplicata de V000657 no LOTE-09</t>
  </si>
  <si>
    <t xml:space="preserve">V009876</t>
  </si>
  <si>
    <t xml:space="preserve">Duplicata de V008960 no LOTE-09</t>
  </si>
  <si>
    <t xml:space="preserve">V009877</t>
  </si>
  <si>
    <t xml:space="preserve">Duplicata de V007260 no LOTE-09</t>
  </si>
  <si>
    <t xml:space="preserve">V009878</t>
  </si>
  <si>
    <t xml:space="preserve">Duplicata de V003039 no LOTE-09</t>
  </si>
  <si>
    <t xml:space="preserve">V009879</t>
  </si>
  <si>
    <t xml:space="preserve">Duplicata de V001352 no LOTE-09</t>
  </si>
  <si>
    <t xml:space="preserve">V009880</t>
  </si>
  <si>
    <t xml:space="preserve">Duplicata de V007835 no LOTE-09</t>
  </si>
  <si>
    <t xml:space="preserve">V009881</t>
  </si>
  <si>
    <t xml:space="preserve">Duplicata de V006696 no LOTE-09</t>
  </si>
  <si>
    <t xml:space="preserve">V009882</t>
  </si>
  <si>
    <t xml:space="preserve">Duplicata de V006657 no LOTE-09</t>
  </si>
  <si>
    <t xml:space="preserve">V009883</t>
  </si>
  <si>
    <t xml:space="preserve">Duplicata de V008215 no LOTE-09</t>
  </si>
  <si>
    <t xml:space="preserve">V009884</t>
  </si>
  <si>
    <t xml:space="preserve">Duplicata de V002818 no LOTE-09</t>
  </si>
  <si>
    <t xml:space="preserve">V009885</t>
  </si>
  <si>
    <t xml:space="preserve">Duplicata de V003598 no LOTE-09</t>
  </si>
  <si>
    <t xml:space="preserve">V009886</t>
  </si>
  <si>
    <t xml:space="preserve">Duplicata de V007740 no LOTE-09</t>
  </si>
  <si>
    <t xml:space="preserve">V009887</t>
  </si>
  <si>
    <t xml:space="preserve">Duplicata de V003042 no LOTE-09</t>
  </si>
  <si>
    <t xml:space="preserve">V009888</t>
  </si>
  <si>
    <t xml:space="preserve">Duplicata de V000931 no LOTE-09</t>
  </si>
  <si>
    <t xml:space="preserve">V009889</t>
  </si>
  <si>
    <t xml:space="preserve">Duplicata de V004559 no LOTE-09</t>
  </si>
  <si>
    <t xml:space="preserve">V009890</t>
  </si>
  <si>
    <t xml:space="preserve">Duplicata de V008288 no LOTE-09</t>
  </si>
  <si>
    <t xml:space="preserve">V009891</t>
  </si>
  <si>
    <t xml:space="preserve">Duplicata de V002312 no LOTE-09</t>
  </si>
  <si>
    <t xml:space="preserve">V009892</t>
  </si>
  <si>
    <t xml:space="preserve">Duplicata de V004496 no LOTE-09</t>
  </si>
  <si>
    <t xml:space="preserve">V009893</t>
  </si>
  <si>
    <t xml:space="preserve">Duplicata de V001306 no LOTE-09</t>
  </si>
  <si>
    <t xml:space="preserve">V009894</t>
  </si>
  <si>
    <t xml:space="preserve">Duplicata de V008419 no LOTE-09</t>
  </si>
  <si>
    <t xml:space="preserve">V009895</t>
  </si>
  <si>
    <t xml:space="preserve">Duplicata de V007530 no LOTE-09</t>
  </si>
  <si>
    <t xml:space="preserve">V009896</t>
  </si>
  <si>
    <t xml:space="preserve">Duplicata de V007387 no LOTE-09</t>
  </si>
  <si>
    <t xml:space="preserve">V009897</t>
  </si>
  <si>
    <t xml:space="preserve">Duplicata de V008039 no LOTE-09</t>
  </si>
  <si>
    <t xml:space="preserve">V009898</t>
  </si>
  <si>
    <t xml:space="preserve">Duplicata de V004618 no LOTE-09</t>
  </si>
  <si>
    <t xml:space="preserve">V009899</t>
  </si>
  <si>
    <t xml:space="preserve">Duplicata de V007003 no LOTE-09</t>
  </si>
  <si>
    <t xml:space="preserve">V009900</t>
  </si>
  <si>
    <t xml:space="preserve">Duplicata de V001562 no LOTE-09</t>
  </si>
  <si>
    <t xml:space="preserve">V009901</t>
  </si>
  <si>
    <t xml:space="preserve">Duplicata de V003169 no LOTE-09</t>
  </si>
  <si>
    <t xml:space="preserve">V009902</t>
  </si>
  <si>
    <t xml:space="preserve">Duplicata de V005313 no LOTE-09</t>
  </si>
  <si>
    <t xml:space="preserve">V009903</t>
  </si>
  <si>
    <t xml:space="preserve">Duplicata de V006762 no LOTE-09</t>
  </si>
  <si>
    <t xml:space="preserve">V009904</t>
  </si>
  <si>
    <t xml:space="preserve">Duplicata de V002246 no LOTE-09</t>
  </si>
  <si>
    <t xml:space="preserve">V009905</t>
  </si>
  <si>
    <t xml:space="preserve">Duplicata de V002237 no LOTE-09</t>
  </si>
  <si>
    <t xml:space="preserve">V009906</t>
  </si>
  <si>
    <t xml:space="preserve">Duplicata de V000710 no LOTE-09</t>
  </si>
  <si>
    <t xml:space="preserve">V009907</t>
  </si>
  <si>
    <t xml:space="preserve">Duplicata de V008192 no LOTE-09</t>
  </si>
  <si>
    <t xml:space="preserve">V009908</t>
  </si>
  <si>
    <t xml:space="preserve">Duplicata de V008818 no LOTE-09</t>
  </si>
  <si>
    <t xml:space="preserve">V009909</t>
  </si>
  <si>
    <t xml:space="preserve">Duplicata de V002190 no LOTE-09</t>
  </si>
  <si>
    <t xml:space="preserve">V009910</t>
  </si>
  <si>
    <t xml:space="preserve">Duplicata de V006571 no LOTE-09</t>
  </si>
  <si>
    <t xml:space="preserve">V009911</t>
  </si>
  <si>
    <t xml:space="preserve">Duplicata de V005454 no LOTE-09</t>
  </si>
  <si>
    <t xml:space="preserve">V009912</t>
  </si>
  <si>
    <t xml:space="preserve">Duplicata de V004856 no LOTE-09</t>
  </si>
  <si>
    <t xml:space="preserve">V009913</t>
  </si>
  <si>
    <t xml:space="preserve">Duplicata de V003960 no LOTE-09</t>
  </si>
  <si>
    <t xml:space="preserve">V009914</t>
  </si>
  <si>
    <t xml:space="preserve">Duplicata de V005279 no LOTE-09</t>
  </si>
  <si>
    <t xml:space="preserve">V009915</t>
  </si>
  <si>
    <t xml:space="preserve">Duplicata de V002390 no LOTE-09</t>
  </si>
  <si>
    <t xml:space="preserve">V009916</t>
  </si>
  <si>
    <t xml:space="preserve">Duplicata de V008523 no LOTE-09</t>
  </si>
  <si>
    <t xml:space="preserve">V009917</t>
  </si>
  <si>
    <t xml:space="preserve">Duplicata de V001307 no LOTE-09</t>
  </si>
  <si>
    <t xml:space="preserve">V009918</t>
  </si>
  <si>
    <t xml:space="preserve">Duplicata de V005037 no LOTE-09</t>
  </si>
  <si>
    <t xml:space="preserve">V009919</t>
  </si>
  <si>
    <t xml:space="preserve">Duplicata de V006038 no LOTE-09</t>
  </si>
  <si>
    <t xml:space="preserve">V009920</t>
  </si>
  <si>
    <t xml:space="preserve">Duplicata de V000109 no LOTE-09</t>
  </si>
  <si>
    <t xml:space="preserve">V009921</t>
  </si>
  <si>
    <t xml:space="preserve">Duplicata de V000832 no LOTE-09</t>
  </si>
  <si>
    <t xml:space="preserve">V009922</t>
  </si>
  <si>
    <t xml:space="preserve">Duplicata de V005446 no LOTE-09</t>
  </si>
  <si>
    <t xml:space="preserve">V009923</t>
  </si>
  <si>
    <t xml:space="preserve">Duplicata de V007641 no LOTE-09</t>
  </si>
  <si>
    <t xml:space="preserve">V009924</t>
  </si>
  <si>
    <t xml:space="preserve">Duplicata de V007548 no LOTE-09</t>
  </si>
  <si>
    <t xml:space="preserve">V009925</t>
  </si>
  <si>
    <t xml:space="preserve">Duplicata de V006918 no LOTE-09</t>
  </si>
  <si>
    <t xml:space="preserve">V009926</t>
  </si>
  <si>
    <t xml:space="preserve">Duplicata de V008883 no LOTE-09</t>
  </si>
  <si>
    <t xml:space="preserve">V009927</t>
  </si>
  <si>
    <t xml:space="preserve">Duplicata de V001438 no LOTE-09</t>
  </si>
  <si>
    <t xml:space="preserve">V009928</t>
  </si>
  <si>
    <t xml:space="preserve">Duplicata de V001843 no LOTE-09</t>
  </si>
  <si>
    <t xml:space="preserve">V009929</t>
  </si>
  <si>
    <t xml:space="preserve">Duplicata de V003735 no LOTE-09</t>
  </si>
  <si>
    <t xml:space="preserve">V009930</t>
  </si>
  <si>
    <t xml:space="preserve">Duplicata de V000123 no LOTE-09</t>
  </si>
  <si>
    <t xml:space="preserve">V009931</t>
  </si>
  <si>
    <t xml:space="preserve">Duplicata de V006118 no LOTE-09</t>
  </si>
  <si>
    <t xml:space="preserve">V009932</t>
  </si>
  <si>
    <t xml:space="preserve">Duplicata de V004977 no LOTE-09</t>
  </si>
  <si>
    <t xml:space="preserve">V009933</t>
  </si>
  <si>
    <t xml:space="preserve">Duplicata de V005690 no LOTE-09</t>
  </si>
  <si>
    <t xml:space="preserve">V009934</t>
  </si>
  <si>
    <t xml:space="preserve">Duplicata de V003903 no LOTE-09</t>
  </si>
  <si>
    <t xml:space="preserve">V009935</t>
  </si>
  <si>
    <t xml:space="preserve">Duplicata de V004538 no LOTE-09</t>
  </si>
  <si>
    <t xml:space="preserve">V009936</t>
  </si>
  <si>
    <t xml:space="preserve">Duplicata de V002915 no LOTE-09</t>
  </si>
  <si>
    <t xml:space="preserve">V009937</t>
  </si>
  <si>
    <t xml:space="preserve">Duplicata de V005068 no LOTE-09</t>
  </si>
  <si>
    <t xml:space="preserve">V009938</t>
  </si>
  <si>
    <t xml:space="preserve">Duplicata de V002157 no LOTE-09</t>
  </si>
  <si>
    <t xml:space="preserve">V009939</t>
  </si>
  <si>
    <t xml:space="preserve">Duplicata de V001694 no LOTE-09</t>
  </si>
  <si>
    <t xml:space="preserve">V009940</t>
  </si>
  <si>
    <t xml:space="preserve">Duplicata de V001570 no LOTE-09</t>
  </si>
  <si>
    <t xml:space="preserve">V009941</t>
  </si>
  <si>
    <t xml:space="preserve">Duplicata de V007380 no LOTE-09</t>
  </si>
  <si>
    <t xml:space="preserve">V009942</t>
  </si>
  <si>
    <t xml:space="preserve">Duplicata de V007424 no LOTE-09</t>
  </si>
  <si>
    <t xml:space="preserve">V009943</t>
  </si>
  <si>
    <t xml:space="preserve">Duplicata de V007019 no LOTE-09</t>
  </si>
  <si>
    <t xml:space="preserve">V009944</t>
  </si>
  <si>
    <t xml:space="preserve">Duplicata de V001374 no LOTE-09</t>
  </si>
  <si>
    <t xml:space="preserve">V009945</t>
  </si>
  <si>
    <t xml:space="preserve">Duplicata de V001437 no LOTE-09</t>
  </si>
  <si>
    <t xml:space="preserve">V009946</t>
  </si>
  <si>
    <t xml:space="preserve">Duplicata de V008042 no LOTE-09</t>
  </si>
  <si>
    <t xml:space="preserve">V009947</t>
  </si>
  <si>
    <t xml:space="preserve">Duplicata de V003792 no LOTE-09</t>
  </si>
  <si>
    <t xml:space="preserve">V009948</t>
  </si>
  <si>
    <t xml:space="preserve">Duplicata de V003585 no LOTE-09</t>
  </si>
  <si>
    <t xml:space="preserve">V009949</t>
  </si>
  <si>
    <t xml:space="preserve">Duplicata de V008361 no LOTE-09</t>
  </si>
  <si>
    <t xml:space="preserve">V009950</t>
  </si>
  <si>
    <t xml:space="preserve">Duplicata de V006763 no LOTE-09</t>
  </si>
  <si>
    <t xml:space="preserve">V009951</t>
  </si>
  <si>
    <t xml:space="preserve">Duplicata de V006177 no LOTE-09</t>
  </si>
  <si>
    <t xml:space="preserve">V009952</t>
  </si>
  <si>
    <t xml:space="preserve">Duplicata de V004610 no LOTE-09</t>
  </si>
  <si>
    <t xml:space="preserve">V009953</t>
  </si>
  <si>
    <t xml:space="preserve">Duplicata de V008104 no LOTE-09</t>
  </si>
  <si>
    <t xml:space="preserve">V009954</t>
  </si>
  <si>
    <t xml:space="preserve">Duplicata de V006612 no LOTE-09</t>
  </si>
  <si>
    <t xml:space="preserve">V009955</t>
  </si>
  <si>
    <t xml:space="preserve">Duplicata de V005816 no LOTE-09</t>
  </si>
  <si>
    <t xml:space="preserve">V009956</t>
  </si>
  <si>
    <t xml:space="preserve">Duplicata de V005368 no LOTE-09</t>
  </si>
  <si>
    <t xml:space="preserve">V009957</t>
  </si>
  <si>
    <t xml:space="preserve">Duplicata de V003990 no LOTE-09</t>
  </si>
  <si>
    <t xml:space="preserve">V009958</t>
  </si>
  <si>
    <t xml:space="preserve">Duplicata de V007305 no LOTE-09</t>
  </si>
  <si>
    <t xml:space="preserve">V009959</t>
  </si>
  <si>
    <t xml:space="preserve">Duplicata de V000150 no LOTE-09</t>
  </si>
  <si>
    <t xml:space="preserve">V009960</t>
  </si>
  <si>
    <t xml:space="preserve">Duplicata de V004050 no LOTE-09</t>
  </si>
  <si>
    <t xml:space="preserve">V009961</t>
  </si>
  <si>
    <t xml:space="preserve">Duplicata de V001016 no LOTE-09</t>
  </si>
  <si>
    <t xml:space="preserve">V009962</t>
  </si>
  <si>
    <t xml:space="preserve">Duplicata de V005329 no LOTE-09</t>
  </si>
  <si>
    <t xml:space="preserve">V009963</t>
  </si>
  <si>
    <t xml:space="preserve">Duplicata de V008742 no LOTE-09</t>
  </si>
  <si>
    <t xml:space="preserve">V009964</t>
  </si>
  <si>
    <t xml:space="preserve">Duplicata de V000635 no LOTE-09</t>
  </si>
  <si>
    <t xml:space="preserve">V009965</t>
  </si>
  <si>
    <t xml:space="preserve">Duplicata de V005502 no LOTE-09</t>
  </si>
  <si>
    <t xml:space="preserve">V009966</t>
  </si>
  <si>
    <t xml:space="preserve">Duplicata de V005398 no LOTE-09</t>
  </si>
  <si>
    <t xml:space="preserve">V009967</t>
  </si>
  <si>
    <t xml:space="preserve">Duplicata de V003715 no LOTE-09</t>
  </si>
  <si>
    <t xml:space="preserve">V009968</t>
  </si>
  <si>
    <t xml:space="preserve">Duplicata de V002022 no LOTE-09</t>
  </si>
  <si>
    <t xml:space="preserve">V009969</t>
  </si>
  <si>
    <t xml:space="preserve">Duplicata de V003519 no LOTE-09</t>
  </si>
  <si>
    <t xml:space="preserve">V009970</t>
  </si>
  <si>
    <t xml:space="preserve">Duplicata de V006372 no LOTE-09</t>
  </si>
  <si>
    <t xml:space="preserve">V009971</t>
  </si>
  <si>
    <t xml:space="preserve">Duplicata de V004038 no LOTE-09</t>
  </si>
  <si>
    <t xml:space="preserve">V009972</t>
  </si>
  <si>
    <t xml:space="preserve">Duplicata de V008177 no LOTE-09</t>
  </si>
  <si>
    <t xml:space="preserve">V009973</t>
  </si>
  <si>
    <t xml:space="preserve">Duplicata de V004079 no LOTE-09</t>
  </si>
  <si>
    <t xml:space="preserve">V009974</t>
  </si>
  <si>
    <t xml:space="preserve">Duplicata de V001762 no LOTE-09</t>
  </si>
  <si>
    <t xml:space="preserve">V009975</t>
  </si>
  <si>
    <t xml:space="preserve">Duplicata de V002408 no LOTE-09</t>
  </si>
  <si>
    <t xml:space="preserve">V009976</t>
  </si>
  <si>
    <t xml:space="preserve">Duplicata de V001915 no LOTE-09</t>
  </si>
  <si>
    <t xml:space="preserve">V009977</t>
  </si>
  <si>
    <t xml:space="preserve">Duplicata de V007533 no LOTE-09</t>
  </si>
  <si>
    <t xml:space="preserve">V009978</t>
  </si>
  <si>
    <t xml:space="preserve">Duplicata de V006097 no LOTE-09</t>
  </si>
  <si>
    <t xml:space="preserve">V009979</t>
  </si>
  <si>
    <t xml:space="preserve">Duplicata de V004768 no LOTE-09</t>
  </si>
  <si>
    <t xml:space="preserve">V009980</t>
  </si>
  <si>
    <t xml:space="preserve">Duplicata de V004011 no LOTE-09</t>
  </si>
  <si>
    <t xml:space="preserve">V009981</t>
  </si>
  <si>
    <t xml:space="preserve">Duplicata de V001951 no LOTE-09</t>
  </si>
  <si>
    <t xml:space="preserve">V009982</t>
  </si>
  <si>
    <t xml:space="preserve">Duplicata de V007238 no LOTE-09</t>
  </si>
  <si>
    <t xml:space="preserve">V009983</t>
  </si>
  <si>
    <t xml:space="preserve">Duplicata de V004087 no LOTE-09</t>
  </si>
  <si>
    <t xml:space="preserve">V009984</t>
  </si>
  <si>
    <t xml:space="preserve">Duplicata de V002983 no LOTE-09</t>
  </si>
  <si>
    <t xml:space="preserve">V009985</t>
  </si>
  <si>
    <t xml:space="preserve">Duplicata de V001059 no LOTE-09</t>
  </si>
  <si>
    <t xml:space="preserve">V009986</t>
  </si>
  <si>
    <t xml:space="preserve">Duplicata de V002402 no LOTE-09</t>
  </si>
  <si>
    <t xml:space="preserve">V009987</t>
  </si>
  <si>
    <t xml:space="preserve">Duplicata de V002068 no LOTE-09</t>
  </si>
  <si>
    <t xml:space="preserve">V009988</t>
  </si>
  <si>
    <t xml:space="preserve">Duplicata de V007335 no LOTE-09</t>
  </si>
  <si>
    <t xml:space="preserve">V009989</t>
  </si>
  <si>
    <t xml:space="preserve">Duplicata de V006493 no LOTE-09</t>
  </si>
  <si>
    <t xml:space="preserve">V009990</t>
  </si>
  <si>
    <t xml:space="preserve">Duplicata de V001087 no LOTE-09</t>
  </si>
  <si>
    <t xml:space="preserve">V009991</t>
  </si>
  <si>
    <t xml:space="preserve">Duplicata de V004465 no LOTE-09</t>
  </si>
  <si>
    <t xml:space="preserve">V009992</t>
  </si>
  <si>
    <t xml:space="preserve">Duplicata de V005954 no LOTE-09</t>
  </si>
  <si>
    <t xml:space="preserve">V009993</t>
  </si>
  <si>
    <t xml:space="preserve">Duplicata de V005001 no LOTE-09</t>
  </si>
  <si>
    <t xml:space="preserve">V009994</t>
  </si>
  <si>
    <t xml:space="preserve">Duplicata de V000370 no LOTE-09</t>
  </si>
  <si>
    <t xml:space="preserve">V009995</t>
  </si>
  <si>
    <t xml:space="preserve">Duplicata de V002025 no LOTE-09</t>
  </si>
  <si>
    <t xml:space="preserve">V009996</t>
  </si>
  <si>
    <t xml:space="preserve">Duplicata de V003425 no LOTE-09</t>
  </si>
  <si>
    <t xml:space="preserve">V009997</t>
  </si>
  <si>
    <t xml:space="preserve">Duplicata de V001656 no LOTE-09</t>
  </si>
  <si>
    <t xml:space="preserve">V009998</t>
  </si>
  <si>
    <t xml:space="preserve">Duplicata de V005139 no LOTE-09</t>
  </si>
  <si>
    <t xml:space="preserve">V009999</t>
  </si>
  <si>
    <t xml:space="preserve">Duplicata de V007080 no LOTE-09</t>
  </si>
  <si>
    <t xml:space="preserve">V009001</t>
  </si>
  <si>
    <t xml:space="preserve">HZ5212</t>
  </si>
  <si>
    <t xml:space="preserve">Matrícula ausente do cadastro de participantes</t>
  </si>
  <si>
    <t xml:space="preserve">V009002</t>
  </si>
  <si>
    <t xml:space="preserve">HZ5572</t>
  </si>
  <si>
    <t xml:space="preserve">V009003</t>
  </si>
  <si>
    <t xml:space="preserve">HZ5042</t>
  </si>
  <si>
    <t xml:space="preserve">V009004</t>
  </si>
  <si>
    <t xml:space="preserve">HZ5677</t>
  </si>
  <si>
    <t xml:space="preserve">V009005</t>
  </si>
  <si>
    <t xml:space="preserve">HZ5206</t>
  </si>
  <si>
    <t xml:space="preserve">V009006</t>
  </si>
  <si>
    <t xml:space="preserve">HZ5949</t>
  </si>
  <si>
    <t xml:space="preserve">V009007</t>
  </si>
  <si>
    <t xml:space="preserve">HZ5208</t>
  </si>
  <si>
    <t xml:space="preserve">V009008</t>
  </si>
  <si>
    <t xml:space="preserve">HZ5980</t>
  </si>
  <si>
    <t xml:space="preserve">V009009</t>
  </si>
  <si>
    <t xml:space="preserve">HZ5560</t>
  </si>
  <si>
    <t xml:space="preserve">V009010</t>
  </si>
  <si>
    <t xml:space="preserve">HZ5163</t>
  </si>
  <si>
    <t xml:space="preserve">V009011</t>
  </si>
  <si>
    <t xml:space="preserve">HZ5905</t>
  </si>
  <si>
    <t xml:space="preserve">V009012</t>
  </si>
  <si>
    <t xml:space="preserve">HZ5984</t>
  </si>
  <si>
    <t xml:space="preserve">V009013</t>
  </si>
  <si>
    <t xml:space="preserve">HZ5650</t>
  </si>
  <si>
    <t xml:space="preserve">V009014</t>
  </si>
  <si>
    <t xml:space="preserve">V009015</t>
  </si>
  <si>
    <t xml:space="preserve">HZ5947</t>
  </si>
  <si>
    <t xml:space="preserve">V009016</t>
  </si>
  <si>
    <t xml:space="preserve">HZ5591</t>
  </si>
  <si>
    <t xml:space="preserve">V009017</t>
  </si>
  <si>
    <t xml:space="preserve">HZ5816</t>
  </si>
  <si>
    <t xml:space="preserve">V009018</t>
  </si>
  <si>
    <t xml:space="preserve">HZ5622</t>
  </si>
  <si>
    <t xml:space="preserve">V009019</t>
  </si>
  <si>
    <t xml:space="preserve">HZ5317</t>
  </si>
  <si>
    <t xml:space="preserve">V009020</t>
  </si>
  <si>
    <t xml:space="preserve">HZ5620</t>
  </si>
  <si>
    <t xml:space="preserve">V009021</t>
  </si>
  <si>
    <t xml:space="preserve">HZ5298</t>
  </si>
  <si>
    <t xml:space="preserve">V009022</t>
  </si>
  <si>
    <t xml:space="preserve">HZ5400</t>
  </si>
  <si>
    <t xml:space="preserve">V009023</t>
  </si>
  <si>
    <t xml:space="preserve">HZ5313</t>
  </si>
  <si>
    <t xml:space="preserve">V009024</t>
  </si>
  <si>
    <t xml:space="preserve">HZ5514</t>
  </si>
  <si>
    <t xml:space="preserve">V009025</t>
  </si>
  <si>
    <t xml:space="preserve">HZ5230</t>
  </si>
  <si>
    <t xml:space="preserve">V009026</t>
  </si>
  <si>
    <t xml:space="preserve">HZ5267</t>
  </si>
  <si>
    <t xml:space="preserve">V009027</t>
  </si>
  <si>
    <t xml:space="preserve">HZ5670</t>
  </si>
  <si>
    <t xml:space="preserve">V009028</t>
  </si>
  <si>
    <t xml:space="preserve">HZ5141</t>
  </si>
  <si>
    <t xml:space="preserve">V009029</t>
  </si>
  <si>
    <t xml:space="preserve">HZ5241</t>
  </si>
  <si>
    <t xml:space="preserve">V009030</t>
  </si>
  <si>
    <t xml:space="preserve">HZ5392</t>
  </si>
  <si>
    <t xml:space="preserve">V009031</t>
  </si>
  <si>
    <t xml:space="preserve">HZ5218</t>
  </si>
  <si>
    <t xml:space="preserve">V009032</t>
  </si>
  <si>
    <t xml:space="preserve">HZ5993</t>
  </si>
  <si>
    <t xml:space="preserve">V009033</t>
  </si>
  <si>
    <t xml:space="preserve">HZ5553</t>
  </si>
  <si>
    <t xml:space="preserve">V009034</t>
  </si>
  <si>
    <t xml:space="preserve">HZ5590</t>
  </si>
  <si>
    <t xml:space="preserve">V009035</t>
  </si>
  <si>
    <t xml:space="preserve">HZ5985</t>
  </si>
  <si>
    <t xml:space="preserve">V009036</t>
  </si>
  <si>
    <t xml:space="preserve">HZ5756</t>
  </si>
  <si>
    <t xml:space="preserve">V009037</t>
  </si>
  <si>
    <t xml:space="preserve">HZ5696</t>
  </si>
  <si>
    <t xml:space="preserve">V009038</t>
  </si>
  <si>
    <t xml:space="preserve">HZ5310</t>
  </si>
  <si>
    <t xml:space="preserve">V009039</t>
  </si>
  <si>
    <t xml:space="preserve">HZ5608</t>
  </si>
  <si>
    <t xml:space="preserve">V009040</t>
  </si>
  <si>
    <t xml:space="preserve">HZ5058</t>
  </si>
  <si>
    <t xml:space="preserve">V009041</t>
  </si>
  <si>
    <t xml:space="preserve">HZ5996</t>
  </si>
  <si>
    <t xml:space="preserve">V009042</t>
  </si>
  <si>
    <t xml:space="preserve">HZ5105</t>
  </si>
  <si>
    <t xml:space="preserve">V009043</t>
  </si>
  <si>
    <t xml:space="preserve">HZ5630</t>
  </si>
  <si>
    <t xml:space="preserve">V009044</t>
  </si>
  <si>
    <t xml:space="preserve">HZ5796</t>
  </si>
  <si>
    <t xml:space="preserve">V009045</t>
  </si>
  <si>
    <t xml:space="preserve">HZ5026</t>
  </si>
  <si>
    <t xml:space="preserve">V009046</t>
  </si>
  <si>
    <t xml:space="preserve">HZ5108</t>
  </si>
  <si>
    <t xml:space="preserve">V009047</t>
  </si>
  <si>
    <t xml:space="preserve">HZ5520</t>
  </si>
  <si>
    <t xml:space="preserve">V009048</t>
  </si>
  <si>
    <t xml:space="preserve">HZ5176</t>
  </si>
  <si>
    <t xml:space="preserve">V009049</t>
  </si>
  <si>
    <t xml:space="preserve">HZ5365</t>
  </si>
  <si>
    <t xml:space="preserve">V009050</t>
  </si>
  <si>
    <t xml:space="preserve">HZ5474</t>
  </si>
  <si>
    <t xml:space="preserve">V009051</t>
  </si>
  <si>
    <t xml:space="preserve">HZ5780</t>
  </si>
  <si>
    <t xml:space="preserve">V009052</t>
  </si>
  <si>
    <t xml:space="preserve">HZ5718</t>
  </si>
  <si>
    <t xml:space="preserve">V009053</t>
  </si>
  <si>
    <t xml:space="preserve">HZ5357</t>
  </si>
  <si>
    <t xml:space="preserve">V009054</t>
  </si>
  <si>
    <t xml:space="preserve">HZ5447</t>
  </si>
  <si>
    <t xml:space="preserve">V009055</t>
  </si>
  <si>
    <t xml:space="preserve">HZ5927</t>
  </si>
  <si>
    <t xml:space="preserve">V000046</t>
  </si>
  <si>
    <t xml:space="preserve">Data 2026-10-08 fora de 2026-07-01 a 2026-09-30</t>
  </si>
  <si>
    <t xml:space="preserve">V000074</t>
  </si>
  <si>
    <t xml:space="preserve">Data 2026-10-12 fora de 2026-07-01 a 2026-09-30</t>
  </si>
  <si>
    <t xml:space="preserve">V000086</t>
  </si>
  <si>
    <t xml:space="preserve">V000539</t>
  </si>
  <si>
    <t xml:space="preserve">Data 2026-06-25 fora de 2026-07-01 a 2026-09-30</t>
  </si>
  <si>
    <t xml:space="preserve">V000857</t>
  </si>
  <si>
    <t xml:space="preserve">Data 2026-10-01 fora de 2026-07-01 a 2026-09-30</t>
  </si>
  <si>
    <t xml:space="preserve">V001048</t>
  </si>
  <si>
    <t xml:space="preserve">V001092</t>
  </si>
  <si>
    <t xml:space="preserve">Data 2026-10-07 fora de 2026-07-01 a 2026-09-30</t>
  </si>
  <si>
    <t xml:space="preserve">V001231</t>
  </si>
  <si>
    <t xml:space="preserve">Data 2026-10-11 fora de 2026-07-01 a 2026-09-30</t>
  </si>
  <si>
    <t xml:space="preserve">V001617</t>
  </si>
  <si>
    <t xml:space="preserve">Data 2026-10-09 fora de 2026-07-01 a 2026-09-30</t>
  </si>
  <si>
    <t xml:space="preserve">V001630</t>
  </si>
  <si>
    <t xml:space="preserve">Data 2026-06-14 fora de 2026-07-01 a 2026-09-30</t>
  </si>
  <si>
    <t xml:space="preserve">V001927</t>
  </si>
  <si>
    <t xml:space="preserve">V002251</t>
  </si>
  <si>
    <t xml:space="preserve">Data 2026-06-22 fora de 2026-07-01 a 2026-09-30</t>
  </si>
  <si>
    <t xml:space="preserve">V002616</t>
  </si>
  <si>
    <t xml:space="preserve">V002628</t>
  </si>
  <si>
    <t xml:space="preserve">V002715</t>
  </si>
  <si>
    <t xml:space="preserve">Data 2026-06-28 fora de 2026-07-01 a 2026-09-30</t>
  </si>
  <si>
    <t xml:space="preserve">V002804</t>
  </si>
  <si>
    <t xml:space="preserve">Data 2026-10-03 fora de 2026-07-01 a 2026-09-30</t>
  </si>
  <si>
    <t xml:space="preserve">V002874</t>
  </si>
  <si>
    <t xml:space="preserve">Data 2026-06-03 fora de 2026-07-01 a 2026-09-30</t>
  </si>
  <si>
    <t xml:space="preserve">V002902</t>
  </si>
  <si>
    <t xml:space="preserve">V003211</t>
  </si>
  <si>
    <t xml:space="preserve">Data 2026-06-15 fora de 2026-07-01 a 2026-09-30</t>
  </si>
  <si>
    <t xml:space="preserve">V003407</t>
  </si>
  <si>
    <t xml:space="preserve">V003409</t>
  </si>
  <si>
    <t xml:space="preserve">V003508</t>
  </si>
  <si>
    <t xml:space="preserve">Data 2026-06-13 fora de 2026-07-01 a 2026-09-30</t>
  </si>
  <si>
    <t xml:space="preserve">V004589</t>
  </si>
  <si>
    <t xml:space="preserve">V004681</t>
  </si>
  <si>
    <t xml:space="preserve">V004786</t>
  </si>
  <si>
    <t xml:space="preserve">Data 2026-10-05 fora de 2026-07-01 a 2026-09-30</t>
  </si>
  <si>
    <t xml:space="preserve">V004866</t>
  </si>
  <si>
    <t xml:space="preserve">V004892</t>
  </si>
  <si>
    <t xml:space="preserve">V004963</t>
  </si>
  <si>
    <t xml:space="preserve">Data 2026-06-01 fora de 2026-07-01 a 2026-09-30</t>
  </si>
  <si>
    <t xml:space="preserve">V004980</t>
  </si>
  <si>
    <t xml:space="preserve">Data 2026-10-04 fora de 2026-07-01 a 2026-09-30</t>
  </si>
  <si>
    <t xml:space="preserve">V005086</t>
  </si>
  <si>
    <t xml:space="preserve">V005108</t>
  </si>
  <si>
    <t xml:space="preserve">V005129</t>
  </si>
  <si>
    <t xml:space="preserve">V005269</t>
  </si>
  <si>
    <t xml:space="preserve">Data 2026-06-05 fora de 2026-07-01 a 2026-09-30</t>
  </si>
  <si>
    <t xml:space="preserve">V005297</t>
  </si>
  <si>
    <t xml:space="preserve">Data 2026-06-12 fora de 2026-07-01 a 2026-09-30</t>
  </si>
  <si>
    <t xml:space="preserve">V005344</t>
  </si>
  <si>
    <t xml:space="preserve">Data 2026-06-06 fora de 2026-07-01 a 2026-09-30</t>
  </si>
  <si>
    <t xml:space="preserve">V005430</t>
  </si>
  <si>
    <t xml:space="preserve">V005524</t>
  </si>
  <si>
    <t xml:space="preserve">Data 2026-06-10 fora de 2026-07-01 a 2026-09-30</t>
  </si>
  <si>
    <t xml:space="preserve">V005696</t>
  </si>
  <si>
    <t xml:space="preserve">Data 2026-06-17 fora de 2026-07-01 a 2026-09-30</t>
  </si>
  <si>
    <t xml:space="preserve">V005716</t>
  </si>
  <si>
    <t xml:space="preserve">Data 2026-06-04 fora de 2026-07-01 a 2026-09-30</t>
  </si>
  <si>
    <t xml:space="preserve">V005742</t>
  </si>
  <si>
    <t xml:space="preserve">V005799</t>
  </si>
  <si>
    <t xml:space="preserve">V005868</t>
  </si>
  <si>
    <t xml:space="preserve">Data 2026-10-02 fora de 2026-07-01 a 2026-09-30</t>
  </si>
  <si>
    <t xml:space="preserve">V005971</t>
  </si>
  <si>
    <t xml:space="preserve">V005972</t>
  </si>
  <si>
    <t xml:space="preserve">V005986</t>
  </si>
  <si>
    <t xml:space="preserve">V006022</t>
  </si>
  <si>
    <t xml:space="preserve">V006129</t>
  </si>
  <si>
    <t xml:space="preserve">Data 2026-10-10 fora de 2026-07-01 a 2026-09-30</t>
  </si>
  <si>
    <t xml:space="preserve">V006494</t>
  </si>
  <si>
    <t xml:space="preserve">V006517</t>
  </si>
  <si>
    <t xml:space="preserve">V006519</t>
  </si>
  <si>
    <t xml:space="preserve">V006666</t>
  </si>
  <si>
    <t xml:space="preserve">Data 2026-10-06 fora de 2026-07-01 a 2026-09-30</t>
  </si>
  <si>
    <t xml:space="preserve">V006764</t>
  </si>
  <si>
    <t xml:space="preserve">V006776</t>
  </si>
  <si>
    <t xml:space="preserve">V006840</t>
  </si>
  <si>
    <t xml:space="preserve">Data 2026-06-20 fora de 2026-07-01 a 2026-09-30</t>
  </si>
  <si>
    <t xml:space="preserve">V006844</t>
  </si>
  <si>
    <t xml:space="preserve">V006847</t>
  </si>
  <si>
    <t xml:space="preserve">V007006</t>
  </si>
  <si>
    <t xml:space="preserve">V007020</t>
  </si>
  <si>
    <t xml:space="preserve">Data 2026-06-29 fora de 2026-07-01 a 2026-09-30</t>
  </si>
  <si>
    <t xml:space="preserve">V007160</t>
  </si>
  <si>
    <t xml:space="preserve">V007193</t>
  </si>
  <si>
    <t xml:space="preserve">Data 2026-06-24 fora de 2026-07-01 a 2026-09-30</t>
  </si>
  <si>
    <t xml:space="preserve">V007404</t>
  </si>
  <si>
    <t xml:space="preserve">V007478</t>
  </si>
  <si>
    <t xml:space="preserve">V007602</t>
  </si>
  <si>
    <t xml:space="preserve">V007965</t>
  </si>
  <si>
    <t xml:space="preserve">V008138</t>
  </si>
  <si>
    <t xml:space="preserve">V008155</t>
  </si>
  <si>
    <t xml:space="preserve">V008167</t>
  </si>
  <si>
    <t xml:space="preserve">V008243</t>
  </si>
  <si>
    <t xml:space="preserve">V008324</t>
  </si>
  <si>
    <t xml:space="preserve">Data 2026-06-26 fora de 2026-07-01 a 2026-09-30</t>
  </si>
  <si>
    <t xml:space="preserve">V008904</t>
  </si>
  <si>
    <t xml:space="preserve">V000273</t>
  </si>
  <si>
    <t xml:space="preserve">valor_total = 0.0</t>
  </si>
  <si>
    <t xml:space="preserve">V000277</t>
  </si>
  <si>
    <t xml:space="preserve">V000575</t>
  </si>
  <si>
    <t xml:space="preserve">valor_total = -5.2</t>
  </si>
  <si>
    <t xml:space="preserve">V000595</t>
  </si>
  <si>
    <t xml:space="preserve">valor_total = -348.3</t>
  </si>
  <si>
    <t xml:space="preserve">V000793</t>
  </si>
  <si>
    <t xml:space="preserve">valor_total = -14.4</t>
  </si>
  <si>
    <t xml:space="preserve">V001467</t>
  </si>
  <si>
    <t xml:space="preserve">valor_total = -28.6</t>
  </si>
  <si>
    <t xml:space="preserve">V001480</t>
  </si>
  <si>
    <t xml:space="preserve">V001968</t>
  </si>
  <si>
    <t xml:space="preserve">valor_total = -489.5</t>
  </si>
  <si>
    <t xml:space="preserve">V001991</t>
  </si>
  <si>
    <t xml:space="preserve">V002684</t>
  </si>
  <si>
    <t xml:space="preserve">valor_total = -58.8</t>
  </si>
  <si>
    <t xml:space="preserve">V002769</t>
  </si>
  <si>
    <t xml:space="preserve">valor_total = -177.6</t>
  </si>
  <si>
    <t xml:space="preserve">V002868</t>
  </si>
  <si>
    <t xml:space="preserve">valor_total = -60.9</t>
  </si>
  <si>
    <t xml:space="preserve">V003082</t>
  </si>
  <si>
    <t xml:space="preserve">valor_total = -122.4</t>
  </si>
  <si>
    <t xml:space="preserve">V003379</t>
  </si>
  <si>
    <t xml:space="preserve">V003428</t>
  </si>
  <si>
    <t xml:space="preserve">valor_total = -37.8</t>
  </si>
  <si>
    <t xml:space="preserve">V004311</t>
  </si>
  <si>
    <t xml:space="preserve">valor_total = -144.0</t>
  </si>
  <si>
    <t xml:space="preserve">V004470</t>
  </si>
  <si>
    <t xml:space="preserve">V004488</t>
  </si>
  <si>
    <t xml:space="preserve">V004791</t>
  </si>
  <si>
    <t xml:space="preserve">V004849</t>
  </si>
  <si>
    <t xml:space="preserve">valor_total = -176.8</t>
  </si>
  <si>
    <t xml:space="preserve">V004938</t>
  </si>
  <si>
    <t xml:space="preserve">V005124</t>
  </si>
  <si>
    <t xml:space="preserve">valor_total = -169.1</t>
  </si>
  <si>
    <t xml:space="preserve">V005285</t>
  </si>
  <si>
    <t xml:space="preserve">valor_total = -541.8</t>
  </si>
  <si>
    <t xml:space="preserve">V005351</t>
  </si>
  <si>
    <t xml:space="preserve">V005425</t>
  </si>
  <si>
    <t xml:space="preserve">V005518</t>
  </si>
  <si>
    <t xml:space="preserve">valor_total = -54.4</t>
  </si>
  <si>
    <t xml:space="preserve">V005902</t>
  </si>
  <si>
    <t xml:space="preserve">valor_total = -39.9</t>
  </si>
  <si>
    <t xml:space="preserve">V005978</t>
  </si>
  <si>
    <t xml:space="preserve">valor_total = -133.5</t>
  </si>
  <si>
    <t xml:space="preserve">V006060</t>
  </si>
  <si>
    <t xml:space="preserve">valor_total = -24.0</t>
  </si>
  <si>
    <t xml:space="preserve">V006163</t>
  </si>
  <si>
    <t xml:space="preserve">V006721</t>
  </si>
  <si>
    <t xml:space="preserve">valor_total = -13.0</t>
  </si>
  <si>
    <t xml:space="preserve">V007318</t>
  </si>
  <si>
    <t xml:space="preserve">V007566</t>
  </si>
  <si>
    <t xml:space="preserve">V007686</t>
  </si>
  <si>
    <t xml:space="preserve">valor_total = -52.8</t>
  </si>
  <si>
    <t xml:space="preserve">V008105</t>
  </si>
  <si>
    <t xml:space="preserve">valor_total = -81.6</t>
  </si>
  <si>
    <t xml:space="preserve">V008408</t>
  </si>
  <si>
    <t xml:space="preserve">V008486</t>
  </si>
  <si>
    <t xml:space="preserve">valor_total = -44.1</t>
  </si>
  <si>
    <t xml:space="preserve">V008586</t>
  </si>
  <si>
    <t xml:space="preserve">Sabrina Souza (Nordeste) não consta no arquivo de metas</t>
  </si>
  <si>
    <t xml:space="preserve">Wesley Carvalho (Sudeste) não consta no arquivo de metas</t>
  </si>
  <si>
    <t xml:space="preserve">Hugo Costa (Norte) não consta no arquivo de metas</t>
  </si>
  <si>
    <t xml:space="preserve">Vinícius Costa (Centro-Oeste) não consta no arquivo de metas</t>
  </si>
  <si>
    <t xml:space="preserve">Yasmin Pereira (Sul) não consta no arquivo de metas</t>
  </si>
  <si>
    <t xml:space="preserve">Hugo Rodrigues (Sudeste) não consta no arquivo de metas</t>
  </si>
  <si>
    <t xml:space="preserve"> HZ0047</t>
  </si>
  <si>
    <t xml:space="preserve">Valor original: " HZ0047" → normalizado: "HZ0047"</t>
  </si>
  <si>
    <t xml:space="preserve"> HZ0076</t>
  </si>
  <si>
    <t xml:space="preserve">Valor original: " HZ0076" → normalizado: "HZ0076"</t>
  </si>
  <si>
    <t xml:space="preserve"> HZ0092</t>
  </si>
  <si>
    <t xml:space="preserve">Valor original: " HZ0092" → normalizado: "HZ0092"</t>
  </si>
  <si>
    <t xml:space="preserve"> HZ0136</t>
  </si>
  <si>
    <t xml:space="preserve">Valor original: " HZ0136" → normalizado: "HZ0136"</t>
  </si>
  <si>
    <t xml:space="preserve"> HZ0175</t>
  </si>
  <si>
    <t xml:space="preserve">Valor original: " HZ0175" → normalizado: "HZ0175"</t>
  </si>
  <si>
    <t xml:space="preserve">HZ0044 </t>
  </si>
  <si>
    <t xml:space="preserve">Valor original: "HZ0044 " → normalizado: "HZ0044"</t>
  </si>
  <si>
    <t xml:space="preserve">HZ0106 </t>
  </si>
  <si>
    <t xml:space="preserve">Valor original: "HZ0106 " → normalizado: "HZ0106"</t>
  </si>
  <si>
    <t xml:space="preserve">HZ0111 </t>
  </si>
  <si>
    <t xml:space="preserve">Valor original: "HZ0111 " → normalizado: "HZ0111"</t>
  </si>
  <si>
    <t xml:space="preserve">hz0038</t>
  </si>
  <si>
    <t xml:space="preserve">Valor original: "hz0038" → normalizado: "HZ0038"</t>
  </si>
  <si>
    <t xml:space="preserve">hz0063</t>
  </si>
  <si>
    <t xml:space="preserve">Valor original: "hz0063" → normalizado: "HZ0063"</t>
  </si>
  <si>
    <t xml:space="preserve">hz0096</t>
  </si>
  <si>
    <t xml:space="preserve">Valor original: "hz0096" → normalizado: "HZ0096"</t>
  </si>
  <si>
    <t xml:space="preserve">hz0145</t>
  </si>
  <si>
    <t xml:space="preserve">Valor original: "hz0145" → normalizado: "HZ0145"</t>
  </si>
  <si>
    <t xml:space="preserve">Apurado 2500 pts, resgatado 25000 pts (saldo -22500)</t>
  </si>
  <si>
    <t xml:space="preserve">Apurado 1000 pts, resgatado 1800 pts (saldo -800)</t>
  </si>
  <si>
    <t xml:space="preserve">Apurado 1000 pts, resgatado 2800 pts (saldo -1800)</t>
  </si>
  <si>
    <t xml:space="preserve">Apurado 2500 pts, resgatado 2800 pts (saldo -300)</t>
  </si>
  <si>
    <t xml:space="preserve">Apurado 1500 pts, resgatado 2800 pts (saldo -1300)</t>
  </si>
  <si>
    <t xml:space="preserve">Apurado 0 pts, resgatado 3600 pts (saldo -3600)</t>
  </si>
  <si>
    <t xml:space="preserve">Apurado 4000 pts, resgatado 27000 pts (saldo -23000)</t>
  </si>
  <si>
    <t xml:space="preserve">Apurado 4000 pts, resgatado 25000 pts (saldo -21000)</t>
  </si>
  <si>
    <t xml:space="preserve">Apurado 1000 pts, resgatado 25000 pts (saldo -24000)</t>
  </si>
  <si>
    <t xml:space="preserve">Apurado 0 pts, resgatado 1500 pts (saldo -1500)</t>
  </si>
  <si>
    <t xml:space="preserve">Apurado 1000 pts, resgatado 2300 pts (saldo -1300)</t>
  </si>
  <si>
    <t xml:space="preserve">Apurado 0 pts, resgatado 26800 pts (saldo -26800)</t>
  </si>
  <si>
    <t xml:space="preserve">Apurado 0 pts, resgatado 1000 pts (saldo -1000)</t>
  </si>
  <si>
    <t xml:space="preserve">Apurado 1000 pts, resgatado 1500 pts (saldo -500)</t>
  </si>
  <si>
    <t xml:space="preserve">Apurado 0 pts, resgatado 25000 pts (saldo -25000)</t>
  </si>
  <si>
    <t xml:space="preserve">Apurado 1500 pts, resgatado 1800 pts (saldo -300)</t>
  </si>
  <si>
    <t xml:space="preserve">Apurado 2500 pts, resgatado 3600 pts (saldo -1100)</t>
  </si>
  <si>
    <t xml:space="preserve">Apurado 0 pts, resgatado 500 pts (saldo -500)</t>
  </si>
  <si>
    <t xml:space="preserve">Apurado 1000 pts, resgatado 3600 pts (saldo -2600)</t>
  </si>
  <si>
    <t xml:space="preserve">Participantes cuja pontuação mudaria sem o tratamento de qualidade</t>
  </si>
  <si>
    <t xml:space="preserve">Diferença positiva = pontos que seriam pagos indevidamente</t>
  </si>
  <si>
    <t xml:space="preserve">nome</t>
  </si>
  <si>
    <t xml:space="preserve">regional</t>
  </si>
  <si>
    <t xml:space="preserve">pontos_sem_tratamento</t>
  </si>
  <si>
    <t xml:space="preserve">pontos_apurados</t>
  </si>
  <si>
    <t xml:space="preserve">diferenca</t>
  </si>
  <si>
    <t xml:space="preserve">Resgates acima do saldo apurado (bloquear antes de liberar o prêmio)</t>
  </si>
  <si>
    <t xml:space="preserve">situacao</t>
  </si>
  <si>
    <t xml:space="preserve">pontos_resgatados</t>
  </si>
  <si>
    <t xml:space="preserve">saldo</t>
  </si>
  <si>
    <t xml:space="preserve">qtd_resgates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</si>
</sst>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</v>
      </c>
      <c r="C5" s="6" t="n">
        <v>0</v>
      </c>
    </row>
    <row r="6" customFormat="false" ht="15" hidden="false" customHeight="false" outlineLevel="0" collapsed="false">
      <c r="A6" s="4" t="s">
        <v>6</v>
      </c>
      <c r="B6" s="5" t="n">
        <v>0.8</v>
      </c>
      <c r="C6" s="6" t="n">
        <v>1000</v>
      </c>
    </row>
    <row r="7" customFormat="false" ht="15" hidden="false" customHeight="false" outlineLevel="0" collapsed="false">
      <c r="A7" s="4" t="s">
        <v>7</v>
      </c>
      <c r="B7" s="5" t="n">
        <v>1</v>
      </c>
      <c r="C7" s="6" t="n">
        <v>2500</v>
      </c>
    </row>
    <row r="8" customFormat="false" ht="15" hidden="false" customHeight="false" outlineLevel="0" collapsed="false">
      <c r="A8" s="4" t="s">
        <v>8</v>
      </c>
      <c r="B8" s="5" t="n">
        <v>1.2</v>
      </c>
      <c r="C8" s="6" t="n">
        <v>4000</v>
      </c>
    </row>
    <row r="10" customFormat="false" ht="15" hidden="false" customHeight="false" outlineLevel="0" collapsed="false">
      <c r="A10" s="4" t="s">
        <v>9</v>
      </c>
      <c r="C10" s="6" t="n">
        <v>1500</v>
      </c>
    </row>
    <row r="12" customFormat="false" ht="15" hidden="false" customHeight="false" outlineLevel="0" collapsed="false">
      <c r="A1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5"/>
    <col collapsed="false" customWidth="true" hidden="false" outlineLevel="0" max="9" min="7" style="0" width="12"/>
    <col collapsed="false" customWidth="true" hidden="false" outlineLevel="0" max="11" min="10" style="0" width="13"/>
    <col collapsed="false" customWidth="true" hidden="false" outlineLevel="0" max="13" min="12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30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</row>
    <row r="5" customFormat="false" ht="15" hidden="false" customHeight="false" outlineLevel="0" collapsed="false">
      <c r="A5" s="7" t="s">
        <v>27</v>
      </c>
      <c r="B5" s="7" t="s">
        <v>28</v>
      </c>
      <c r="C5" s="7" t="s">
        <v>29</v>
      </c>
      <c r="D5" s="7" t="s">
        <v>30</v>
      </c>
      <c r="E5" s="8" t="n">
        <v>10100</v>
      </c>
      <c r="F5" s="8" t="n">
        <v>7866.2</v>
      </c>
      <c r="G5" s="7" t="n">
        <v>30</v>
      </c>
      <c r="H5" s="7" t="n">
        <v>34</v>
      </c>
      <c r="I5" s="9" t="n">
        <f aca="false">IF($D5="Elegível",F5/E5,"")</f>
        <v>0.778831683168317</v>
      </c>
      <c r="J5" s="10" t="n">
        <f aca="false">IF($D5="Elegível",INDEX(Parâmetros!$C$5:$C$8,MATCH(I5,Parâmetros!$B$5:$B$8,1)),0)</f>
        <v>0</v>
      </c>
      <c r="K5" s="10" t="n">
        <f aca="false">IF(AND($D5="Elegível",H5&gt;=G5),Parâmetros!$C$10,0)</f>
        <v>1500</v>
      </c>
      <c r="L5" s="10" t="n">
        <f aca="false">J5+K5</f>
        <v>1500</v>
      </c>
      <c r="M5" s="10" t="n">
        <v>1500</v>
      </c>
      <c r="N5" s="7" t="str">
        <f aca="false">IF(L5=M5,"OK","DIVERGE")</f>
        <v>OK</v>
      </c>
    </row>
    <row r="6" customFormat="false" ht="15" hidden="false" customHeight="false" outlineLevel="0" collapsed="false">
      <c r="A6" s="7" t="s">
        <v>31</v>
      </c>
      <c r="B6" s="7" t="s">
        <v>32</v>
      </c>
      <c r="C6" s="7" t="s">
        <v>33</v>
      </c>
      <c r="D6" s="7" t="s">
        <v>34</v>
      </c>
      <c r="E6" s="8" t="n">
        <v>7300</v>
      </c>
      <c r="F6" s="8" t="n">
        <v>6290.7</v>
      </c>
      <c r="G6" s="7" t="n">
        <v>35</v>
      </c>
      <c r="H6" s="7" t="n">
        <v>32</v>
      </c>
      <c r="I6" s="9" t="str">
        <f aca="false">IF($D6="Elegível",F6/E6,"")</f>
        <v/>
      </c>
      <c r="J6" s="10" t="n">
        <f aca="false">IF($D6="Elegível",INDEX(Parâmetros!$C$5:$C$8,MATCH(I6,Parâmetros!$B$5:$B$8,1)),0)</f>
        <v>0</v>
      </c>
      <c r="K6" s="10" t="n">
        <f aca="false">IF(AND($D6="Elegível",H6&gt;=G6),Parâmetros!$C$10,0)</f>
        <v>0</v>
      </c>
      <c r="L6" s="10" t="n">
        <f aca="false">J6+K6</f>
        <v>0</v>
      </c>
      <c r="M6" s="10" t="n">
        <v>0</v>
      </c>
      <c r="N6" s="7" t="str">
        <f aca="false">IF(L6=M6,"OK","DIVERGE")</f>
        <v>OK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s">
        <v>37</v>
      </c>
      <c r="D7" s="7" t="s">
        <v>30</v>
      </c>
      <c r="E7" s="8" t="n">
        <v>12900</v>
      </c>
      <c r="F7" s="8" t="n">
        <v>11613.2</v>
      </c>
      <c r="G7" s="7" t="n">
        <v>45</v>
      </c>
      <c r="H7" s="7" t="n">
        <v>39</v>
      </c>
      <c r="I7" s="9" t="n">
        <f aca="false">IF($D7="Elegível",F7/E7,"")</f>
        <v>0.900248062015504</v>
      </c>
      <c r="J7" s="10" t="n">
        <f aca="false">IF($D7="Elegível",INDEX(Parâmetros!$C$5:$C$8,MATCH(I7,Parâmetros!$B$5:$B$8,1)),0)</f>
        <v>1000</v>
      </c>
      <c r="K7" s="10" t="n">
        <f aca="false">IF(AND($D7="Elegível",H7&gt;=G7),Parâmetros!$C$10,0)</f>
        <v>0</v>
      </c>
      <c r="L7" s="10" t="n">
        <f aca="false">J7+K7</f>
        <v>1000</v>
      </c>
      <c r="M7" s="10" t="n">
        <v>1000</v>
      </c>
      <c r="N7" s="7" t="str">
        <f aca="false">IF(L7=M7,"OK","DIVERGE")</f>
        <v>OK</v>
      </c>
    </row>
    <row r="8" customFormat="false" ht="15" hidden="false" customHeight="false" outlineLevel="0" collapsed="false">
      <c r="A8" s="7" t="s">
        <v>38</v>
      </c>
      <c r="B8" s="7" t="s">
        <v>39</v>
      </c>
      <c r="C8" s="7" t="s">
        <v>40</v>
      </c>
      <c r="D8" s="7" t="s">
        <v>30</v>
      </c>
      <c r="E8" s="8" t="n">
        <v>12700</v>
      </c>
      <c r="F8" s="8" t="n">
        <v>13301.1</v>
      </c>
      <c r="G8" s="7" t="n">
        <v>35</v>
      </c>
      <c r="H8" s="7" t="n">
        <v>37</v>
      </c>
      <c r="I8" s="9" t="n">
        <f aca="false">IF($D8="Elegível",F8/E8,"")</f>
        <v>1.04733070866142</v>
      </c>
      <c r="J8" s="10" t="n">
        <f aca="false">IF($D8="Elegível",INDEX(Parâmetros!$C$5:$C$8,MATCH(I8,Parâmetros!$B$5:$B$8,1)),0)</f>
        <v>2500</v>
      </c>
      <c r="K8" s="10" t="n">
        <f aca="false">IF(AND($D8="Elegível",H8&gt;=G8),Parâmetros!$C$10,0)</f>
        <v>1500</v>
      </c>
      <c r="L8" s="10" t="n">
        <f aca="false">J8+K8</f>
        <v>4000</v>
      </c>
      <c r="M8" s="10" t="n">
        <v>4000</v>
      </c>
      <c r="N8" s="7" t="str">
        <f aca="false">IF(L8=M8,"OK","DIVERGE")</f>
        <v>OK</v>
      </c>
    </row>
    <row r="9" customFormat="false" ht="15" hidden="false" customHeight="false" outlineLevel="0" collapsed="false">
      <c r="A9" s="7" t="s">
        <v>41</v>
      </c>
      <c r="B9" s="7" t="s">
        <v>42</v>
      </c>
      <c r="C9" s="7" t="s">
        <v>40</v>
      </c>
      <c r="D9" s="7" t="s">
        <v>30</v>
      </c>
      <c r="E9" s="8" t="n">
        <v>6400</v>
      </c>
      <c r="F9" s="8" t="n">
        <v>6211.6</v>
      </c>
      <c r="G9" s="7" t="n">
        <v>30</v>
      </c>
      <c r="H9" s="7" t="n">
        <v>35</v>
      </c>
      <c r="I9" s="9" t="n">
        <f aca="false">IF($D9="Elegível",F9/E9,"")</f>
        <v>0.9705625</v>
      </c>
      <c r="J9" s="10" t="n">
        <f aca="false">IF($D9="Elegível",INDEX(Parâmetros!$C$5:$C$8,MATCH(I9,Parâmetros!$B$5:$B$8,1)),0)</f>
        <v>1000</v>
      </c>
      <c r="K9" s="10" t="n">
        <f aca="false">IF(AND($D9="Elegível",H9&gt;=G9),Parâmetros!$C$10,0)</f>
        <v>1500</v>
      </c>
      <c r="L9" s="10" t="n">
        <f aca="false">J9+K9</f>
        <v>2500</v>
      </c>
      <c r="M9" s="10" t="n">
        <v>2500</v>
      </c>
      <c r="N9" s="7" t="str">
        <f aca="false">IF(L9=M9,"OK","DIVERGE")</f>
        <v>OK</v>
      </c>
    </row>
    <row r="10" customFormat="false" ht="15" hidden="false" customHeight="false" outlineLevel="0" collapsed="false">
      <c r="A10" s="7" t="s">
        <v>43</v>
      </c>
      <c r="B10" s="7" t="s">
        <v>44</v>
      </c>
      <c r="C10" s="7" t="s">
        <v>33</v>
      </c>
      <c r="D10" s="7" t="s">
        <v>30</v>
      </c>
      <c r="E10" s="8" t="n">
        <v>4900</v>
      </c>
      <c r="F10" s="8" t="n">
        <v>4292.3</v>
      </c>
      <c r="G10" s="7" t="n">
        <v>30</v>
      </c>
      <c r="H10" s="7" t="n">
        <v>31</v>
      </c>
      <c r="I10" s="9" t="n">
        <f aca="false">IF($D10="Elegível",F10/E10,"")</f>
        <v>0.875979591836735</v>
      </c>
      <c r="J10" s="10" t="n">
        <f aca="false">IF($D10="Elegível",INDEX(Parâmetros!$C$5:$C$8,MATCH(I10,Parâmetros!$B$5:$B$8,1)),0)</f>
        <v>1000</v>
      </c>
      <c r="K10" s="10" t="n">
        <f aca="false">IF(AND($D10="Elegível",H10&gt;=G10),Parâmetros!$C$10,0)</f>
        <v>1500</v>
      </c>
      <c r="L10" s="10" t="n">
        <f aca="false">J10+K10</f>
        <v>2500</v>
      </c>
      <c r="M10" s="10" t="n">
        <v>2500</v>
      </c>
      <c r="N10" s="7" t="str">
        <f aca="false">IF(L10=M10,"OK","DIVERGE")</f>
        <v>OK</v>
      </c>
    </row>
    <row r="11" customFormat="false" ht="15" hidden="false" customHeight="false" outlineLevel="0" collapsed="false">
      <c r="A11" s="7" t="s">
        <v>45</v>
      </c>
      <c r="B11" s="7" t="s">
        <v>46</v>
      </c>
      <c r="C11" s="7" t="s">
        <v>33</v>
      </c>
      <c r="D11" s="7" t="s">
        <v>30</v>
      </c>
      <c r="E11" s="8" t="n">
        <v>5600</v>
      </c>
      <c r="F11" s="8" t="n">
        <v>5538</v>
      </c>
      <c r="G11" s="7" t="n">
        <v>35</v>
      </c>
      <c r="H11" s="7" t="n">
        <v>34</v>
      </c>
      <c r="I11" s="9" t="n">
        <f aca="false">IF($D11="Elegível",F11/E11,"")</f>
        <v>0.988928571428571</v>
      </c>
      <c r="J11" s="10" t="n">
        <f aca="false">IF($D11="Elegível",INDEX(Parâmetros!$C$5:$C$8,MATCH(I11,Parâmetros!$B$5:$B$8,1)),0)</f>
        <v>1000</v>
      </c>
      <c r="K11" s="10" t="n">
        <f aca="false">IF(AND($D11="Elegível",H11&gt;=G11),Parâmetros!$C$10,0)</f>
        <v>0</v>
      </c>
      <c r="L11" s="10" t="n">
        <f aca="false">J11+K11</f>
        <v>1000</v>
      </c>
      <c r="M11" s="10" t="n">
        <v>1000</v>
      </c>
      <c r="N11" s="7" t="str">
        <f aca="false">IF(L11=M11,"OK","DIVERGE")</f>
        <v>OK</v>
      </c>
    </row>
    <row r="12" customFormat="false" ht="15" hidden="false" customHeight="false" outlineLevel="0" collapsed="false">
      <c r="A12" s="7" t="s">
        <v>47</v>
      </c>
      <c r="B12" s="7" t="s">
        <v>48</v>
      </c>
      <c r="C12" s="7" t="s">
        <v>29</v>
      </c>
      <c r="D12" s="7" t="s">
        <v>30</v>
      </c>
      <c r="E12" s="8" t="n">
        <v>3000</v>
      </c>
      <c r="F12" s="8" t="n">
        <v>2793.8</v>
      </c>
      <c r="G12" s="7" t="n">
        <v>15</v>
      </c>
      <c r="H12" s="7" t="n">
        <v>19</v>
      </c>
      <c r="I12" s="9" t="n">
        <f aca="false">IF($D12="Elegível",F12/E12,"")</f>
        <v>0.931266666666667</v>
      </c>
      <c r="J12" s="10" t="n">
        <f aca="false">IF($D12="Elegível",INDEX(Parâmetros!$C$5:$C$8,MATCH(I12,Parâmetros!$B$5:$B$8,1)),0)</f>
        <v>1000</v>
      </c>
      <c r="K12" s="10" t="n">
        <f aca="false">IF(AND($D12="Elegível",H12&gt;=G12),Parâmetros!$C$10,0)</f>
        <v>1500</v>
      </c>
      <c r="L12" s="10" t="n">
        <f aca="false">J12+K12</f>
        <v>2500</v>
      </c>
      <c r="M12" s="10" t="n">
        <v>2500</v>
      </c>
      <c r="N12" s="7" t="str">
        <f aca="false">IF(L12=M12,"OK","DIVERGE")</f>
        <v>OK</v>
      </c>
    </row>
    <row r="13" customFormat="false" ht="15" hidden="false" customHeight="false" outlineLevel="0" collapsed="false">
      <c r="A13" s="7" t="s">
        <v>49</v>
      </c>
      <c r="B13" s="7" t="s">
        <v>50</v>
      </c>
      <c r="C13" s="7" t="s">
        <v>51</v>
      </c>
      <c r="D13" s="7" t="s">
        <v>30</v>
      </c>
      <c r="E13" s="8" t="n">
        <v>12700</v>
      </c>
      <c r="F13" s="8" t="n">
        <v>10910.4</v>
      </c>
      <c r="G13" s="7" t="n">
        <v>35</v>
      </c>
      <c r="H13" s="7" t="n">
        <v>36</v>
      </c>
      <c r="I13" s="9" t="n">
        <f aca="false">IF($D13="Elegível",F13/E13,"")</f>
        <v>0.859086614173228</v>
      </c>
      <c r="J13" s="10" t="n">
        <f aca="false">IF($D13="Elegível",INDEX(Parâmetros!$C$5:$C$8,MATCH(I13,Parâmetros!$B$5:$B$8,1)),0)</f>
        <v>1000</v>
      </c>
      <c r="K13" s="10" t="n">
        <f aca="false">IF(AND($D13="Elegível",H13&gt;=G13),Parâmetros!$C$10,0)</f>
        <v>1500</v>
      </c>
      <c r="L13" s="10" t="n">
        <f aca="false">J13+K13</f>
        <v>2500</v>
      </c>
      <c r="M13" s="10" t="n">
        <v>2500</v>
      </c>
      <c r="N13" s="7" t="str">
        <f aca="false">IF(L13=M13,"OK","DIVERGE")</f>
        <v>OK</v>
      </c>
    </row>
    <row r="14" customFormat="false" ht="15" hidden="false" customHeight="false" outlineLevel="0" collapsed="false">
      <c r="A14" s="7" t="s">
        <v>52</v>
      </c>
      <c r="B14" s="7" t="s">
        <v>53</v>
      </c>
      <c r="C14" s="7" t="s">
        <v>29</v>
      </c>
      <c r="D14" s="7" t="s">
        <v>30</v>
      </c>
      <c r="E14" s="8" t="n">
        <v>13200</v>
      </c>
      <c r="F14" s="8" t="n">
        <v>12718.9</v>
      </c>
      <c r="G14" s="7" t="n">
        <v>35</v>
      </c>
      <c r="H14" s="7" t="n">
        <v>41</v>
      </c>
      <c r="I14" s="9" t="n">
        <f aca="false">IF($D14="Elegível",F14/E14,"")</f>
        <v>0.96355303030303</v>
      </c>
      <c r="J14" s="10" t="n">
        <f aca="false">IF($D14="Elegível",INDEX(Parâmetros!$C$5:$C$8,MATCH(I14,Parâmetros!$B$5:$B$8,1)),0)</f>
        <v>1000</v>
      </c>
      <c r="K14" s="10" t="n">
        <f aca="false">IF(AND($D14="Elegível",H14&gt;=G14),Parâmetros!$C$10,0)</f>
        <v>1500</v>
      </c>
      <c r="L14" s="10" t="n">
        <f aca="false">J14+K14</f>
        <v>2500</v>
      </c>
      <c r="M14" s="10" t="n">
        <v>2500</v>
      </c>
      <c r="N14" s="7" t="str">
        <f aca="false">IF(L14=M14,"OK","DIVERGE")</f>
        <v>OK</v>
      </c>
    </row>
    <row r="15" customFormat="false" ht="15" hidden="false" customHeight="false" outlineLevel="0" collapsed="false">
      <c r="A15" s="7" t="s">
        <v>54</v>
      </c>
      <c r="B15" s="7" t="s">
        <v>55</v>
      </c>
      <c r="C15" s="7" t="s">
        <v>29</v>
      </c>
      <c r="D15" s="7" t="s">
        <v>30</v>
      </c>
      <c r="E15" s="8" t="n">
        <v>6400</v>
      </c>
      <c r="F15" s="8" t="n">
        <v>6718.5</v>
      </c>
      <c r="G15" s="7" t="n">
        <v>35</v>
      </c>
      <c r="H15" s="7" t="n">
        <v>32</v>
      </c>
      <c r="I15" s="9" t="n">
        <f aca="false">IF($D15="Elegível",F15/E15,"")</f>
        <v>1.049765625</v>
      </c>
      <c r="J15" s="10" t="n">
        <f aca="false">IF($D15="Elegível",INDEX(Parâmetros!$C$5:$C$8,MATCH(I15,Parâmetros!$B$5:$B$8,1)),0)</f>
        <v>2500</v>
      </c>
      <c r="K15" s="10" t="n">
        <f aca="false">IF(AND($D15="Elegível",H15&gt;=G15),Parâmetros!$C$10,0)</f>
        <v>0</v>
      </c>
      <c r="L15" s="10" t="n">
        <f aca="false">J15+K15</f>
        <v>2500</v>
      </c>
      <c r="M15" s="10" t="n">
        <v>2500</v>
      </c>
      <c r="N15" s="7" t="str">
        <f aca="false">IF(L15=M15,"OK","DIVERGE")</f>
        <v>OK</v>
      </c>
    </row>
    <row r="16" customFormat="false" ht="15" hidden="false" customHeight="false" outlineLevel="0" collapsed="false">
      <c r="A16" s="7" t="s">
        <v>56</v>
      </c>
      <c r="B16" s="7" t="s">
        <v>39</v>
      </c>
      <c r="C16" s="7" t="s">
        <v>37</v>
      </c>
      <c r="D16" s="7" t="s">
        <v>30</v>
      </c>
      <c r="E16" s="8" t="n">
        <v>11000</v>
      </c>
      <c r="F16" s="8" t="n">
        <v>11398.2</v>
      </c>
      <c r="G16" s="7" t="n">
        <v>45</v>
      </c>
      <c r="H16" s="7" t="n">
        <v>40</v>
      </c>
      <c r="I16" s="9" t="n">
        <f aca="false">IF($D16="Elegível",F16/E16,"")</f>
        <v>1.0362</v>
      </c>
      <c r="J16" s="10" t="n">
        <f aca="false">IF($D16="Elegível",INDEX(Parâmetros!$C$5:$C$8,MATCH(I16,Parâmetros!$B$5:$B$8,1)),0)</f>
        <v>2500</v>
      </c>
      <c r="K16" s="10" t="n">
        <f aca="false">IF(AND($D16="Elegível",H16&gt;=G16),Parâmetros!$C$10,0)</f>
        <v>0</v>
      </c>
      <c r="L16" s="10" t="n">
        <f aca="false">J16+K16</f>
        <v>2500</v>
      </c>
      <c r="M16" s="10" t="n">
        <v>2500</v>
      </c>
      <c r="N16" s="7" t="str">
        <f aca="false">IF(L16=M16,"OK","DIVERGE")</f>
        <v>OK</v>
      </c>
    </row>
    <row r="17" customFormat="false" ht="15" hidden="false" customHeight="false" outlineLevel="0" collapsed="false">
      <c r="A17" s="7" t="s">
        <v>57</v>
      </c>
      <c r="B17" s="7" t="s">
        <v>58</v>
      </c>
      <c r="C17" s="7" t="s">
        <v>40</v>
      </c>
      <c r="D17" s="7" t="s">
        <v>30</v>
      </c>
      <c r="E17" s="8" t="n">
        <v>9800</v>
      </c>
      <c r="F17" s="8" t="n">
        <v>10000</v>
      </c>
      <c r="G17" s="7" t="n">
        <v>35</v>
      </c>
      <c r="H17" s="7" t="n">
        <v>33</v>
      </c>
      <c r="I17" s="9" t="n">
        <f aca="false">IF($D17="Elegível",F17/E17,"")</f>
        <v>1.02040816326531</v>
      </c>
      <c r="J17" s="10" t="n">
        <f aca="false">IF($D17="Elegível",INDEX(Parâmetros!$C$5:$C$8,MATCH(I17,Parâmetros!$B$5:$B$8,1)),0)</f>
        <v>2500</v>
      </c>
      <c r="K17" s="10" t="n">
        <f aca="false">IF(AND($D17="Elegível",H17&gt;=G17),Parâmetros!$C$10,0)</f>
        <v>0</v>
      </c>
      <c r="L17" s="10" t="n">
        <f aca="false">J17+K17</f>
        <v>2500</v>
      </c>
      <c r="M17" s="10" t="n">
        <v>2500</v>
      </c>
      <c r="N17" s="7" t="str">
        <f aca="false">IF(L17=M17,"OK","DIVERGE")</f>
        <v>OK</v>
      </c>
    </row>
    <row r="18" customFormat="false" ht="15" hidden="false" customHeight="false" outlineLevel="0" collapsed="false">
      <c r="A18" s="7" t="s">
        <v>59</v>
      </c>
      <c r="B18" s="7" t="s">
        <v>60</v>
      </c>
      <c r="C18" s="7" t="s">
        <v>51</v>
      </c>
      <c r="D18" s="7" t="s">
        <v>30</v>
      </c>
      <c r="E18" s="8" t="n">
        <v>5900</v>
      </c>
      <c r="F18" s="8" t="n">
        <v>6212.1</v>
      </c>
      <c r="G18" s="7" t="n">
        <v>35</v>
      </c>
      <c r="H18" s="7" t="n">
        <v>33</v>
      </c>
      <c r="I18" s="9" t="n">
        <f aca="false">IF($D18="Elegível",F18/E18,"")</f>
        <v>1.05289830508475</v>
      </c>
      <c r="J18" s="10" t="n">
        <f aca="false">IF($D18="Elegível",INDEX(Parâmetros!$C$5:$C$8,MATCH(I18,Parâmetros!$B$5:$B$8,1)),0)</f>
        <v>2500</v>
      </c>
      <c r="K18" s="10" t="n">
        <f aca="false">IF(AND($D18="Elegível",H18&gt;=G18),Parâmetros!$C$10,0)</f>
        <v>0</v>
      </c>
      <c r="L18" s="10" t="n">
        <f aca="false">J18+K18</f>
        <v>2500</v>
      </c>
      <c r="M18" s="10" t="n">
        <v>2500</v>
      </c>
      <c r="N18" s="7" t="str">
        <f aca="false">IF(L18=M18,"OK","DIVERGE")</f>
        <v>OK</v>
      </c>
    </row>
    <row r="19" customFormat="false" ht="15" hidden="false" customHeight="false" outlineLevel="0" collapsed="false">
      <c r="A19" s="7" t="s">
        <v>61</v>
      </c>
      <c r="B19" s="7" t="s">
        <v>62</v>
      </c>
      <c r="C19" s="7" t="s">
        <v>29</v>
      </c>
      <c r="D19" s="7" t="s">
        <v>30</v>
      </c>
      <c r="E19" s="8" t="n">
        <v>3500</v>
      </c>
      <c r="F19" s="8" t="n">
        <v>3706.2</v>
      </c>
      <c r="G19" s="7" t="n">
        <v>30</v>
      </c>
      <c r="H19" s="7" t="n">
        <v>33</v>
      </c>
      <c r="I19" s="9" t="n">
        <f aca="false">IF($D19="Elegível",F19/E19,"")</f>
        <v>1.05891428571429</v>
      </c>
      <c r="J19" s="10" t="n">
        <f aca="false">IF($D19="Elegível",INDEX(Parâmetros!$C$5:$C$8,MATCH(I19,Parâmetros!$B$5:$B$8,1)),0)</f>
        <v>2500</v>
      </c>
      <c r="K19" s="10" t="n">
        <f aca="false">IF(AND($D19="Elegível",H19&gt;=G19),Parâmetros!$C$10,0)</f>
        <v>1500</v>
      </c>
      <c r="L19" s="10" t="n">
        <f aca="false">J19+K19</f>
        <v>4000</v>
      </c>
      <c r="M19" s="10" t="n">
        <v>4000</v>
      </c>
      <c r="N19" s="7" t="str">
        <f aca="false">IF(L19=M19,"OK","DIVERGE")</f>
        <v>OK</v>
      </c>
    </row>
    <row r="20" customFormat="false" ht="15" hidden="false" customHeight="false" outlineLevel="0" collapsed="false">
      <c r="A20" s="7" t="s">
        <v>63</v>
      </c>
      <c r="B20" s="7" t="s">
        <v>64</v>
      </c>
      <c r="C20" s="7" t="s">
        <v>51</v>
      </c>
      <c r="D20" s="7" t="s">
        <v>30</v>
      </c>
      <c r="E20" s="8" t="n">
        <v>14200</v>
      </c>
      <c r="F20" s="8" t="n">
        <v>12049.2</v>
      </c>
      <c r="G20" s="7" t="n">
        <v>50</v>
      </c>
      <c r="H20" s="7" t="n">
        <v>42</v>
      </c>
      <c r="I20" s="9" t="n">
        <f aca="false">IF($D20="Elegível",F20/E20,"")</f>
        <v>0.848535211267606</v>
      </c>
      <c r="J20" s="10" t="n">
        <f aca="false">IF($D20="Elegível",INDEX(Parâmetros!$C$5:$C$8,MATCH(I20,Parâmetros!$B$5:$B$8,1)),0)</f>
        <v>1000</v>
      </c>
      <c r="K20" s="10" t="n">
        <f aca="false">IF(AND($D20="Elegível",H20&gt;=G20),Parâmetros!$C$10,0)</f>
        <v>0</v>
      </c>
      <c r="L20" s="10" t="n">
        <f aca="false">J20+K20</f>
        <v>1000</v>
      </c>
      <c r="M20" s="10" t="n">
        <v>1000</v>
      </c>
      <c r="N20" s="7" t="str">
        <f aca="false">IF(L20=M20,"OK","DIVERGE")</f>
        <v>OK</v>
      </c>
    </row>
    <row r="21" customFormat="false" ht="15" hidden="false" customHeight="false" outlineLevel="0" collapsed="false">
      <c r="A21" s="7" t="s">
        <v>65</v>
      </c>
      <c r="B21" s="7" t="s">
        <v>66</v>
      </c>
      <c r="C21" s="7" t="s">
        <v>29</v>
      </c>
      <c r="D21" s="7" t="s">
        <v>30</v>
      </c>
      <c r="E21" s="8" t="n">
        <v>11700</v>
      </c>
      <c r="F21" s="8" t="n">
        <v>10388.5</v>
      </c>
      <c r="G21" s="7" t="n">
        <v>45</v>
      </c>
      <c r="H21" s="7" t="n">
        <v>40</v>
      </c>
      <c r="I21" s="9" t="n">
        <f aca="false">IF($D21="Elegível",F21/E21,"")</f>
        <v>0.887905982905983</v>
      </c>
      <c r="J21" s="10" t="n">
        <f aca="false">IF($D21="Elegível",INDEX(Parâmetros!$C$5:$C$8,MATCH(I21,Parâmetros!$B$5:$B$8,1)),0)</f>
        <v>1000</v>
      </c>
      <c r="K21" s="10" t="n">
        <f aca="false">IF(AND($D21="Elegível",H21&gt;=G21),Parâmetros!$C$10,0)</f>
        <v>0</v>
      </c>
      <c r="L21" s="10" t="n">
        <f aca="false">J21+K21</f>
        <v>1000</v>
      </c>
      <c r="M21" s="10" t="n">
        <v>1000</v>
      </c>
      <c r="N21" s="7" t="str">
        <f aca="false">IF(L21=M21,"OK","DIVERGE")</f>
        <v>OK</v>
      </c>
    </row>
    <row r="22" customFormat="false" ht="15" hidden="false" customHeight="false" outlineLevel="0" collapsed="false">
      <c r="A22" s="7" t="s">
        <v>67</v>
      </c>
      <c r="B22" s="7" t="s">
        <v>68</v>
      </c>
      <c r="C22" s="7" t="s">
        <v>37</v>
      </c>
      <c r="D22" s="7" t="s">
        <v>30</v>
      </c>
      <c r="E22" s="8" t="n">
        <v>4300</v>
      </c>
      <c r="F22" s="8" t="n">
        <v>3320.6</v>
      </c>
      <c r="G22" s="7" t="n">
        <v>30</v>
      </c>
      <c r="H22" s="7" t="n">
        <v>27</v>
      </c>
      <c r="I22" s="9" t="n">
        <f aca="false">IF($D22="Elegível",F22/E22,"")</f>
        <v>0.772232558139535</v>
      </c>
      <c r="J22" s="10" t="n">
        <f aca="false">IF($D22="Elegível",INDEX(Parâmetros!$C$5:$C$8,MATCH(I22,Parâmetros!$B$5:$B$8,1)),0)</f>
        <v>0</v>
      </c>
      <c r="K22" s="10" t="n">
        <f aca="false">IF(AND($D22="Elegível",H22&gt;=G22),Parâmetros!$C$10,0)</f>
        <v>0</v>
      </c>
      <c r="L22" s="10" t="n">
        <f aca="false">J22+K22</f>
        <v>0</v>
      </c>
      <c r="M22" s="10" t="n">
        <v>0</v>
      </c>
      <c r="N22" s="7" t="str">
        <f aca="false">IF(L22=M22,"OK","DIVERGE")</f>
        <v>OK</v>
      </c>
    </row>
    <row r="23" customFormat="false" ht="15" hidden="false" customHeight="false" outlineLevel="0" collapsed="false">
      <c r="A23" s="7" t="s">
        <v>69</v>
      </c>
      <c r="B23" s="7" t="s">
        <v>70</v>
      </c>
      <c r="C23" s="7" t="s">
        <v>51</v>
      </c>
      <c r="D23" s="7" t="s">
        <v>30</v>
      </c>
      <c r="E23" s="8" t="n">
        <v>7000</v>
      </c>
      <c r="F23" s="8" t="n">
        <v>7110.3</v>
      </c>
      <c r="G23" s="7" t="n">
        <v>45</v>
      </c>
      <c r="H23" s="7" t="n">
        <v>41</v>
      </c>
      <c r="I23" s="9" t="n">
        <f aca="false">IF($D23="Elegível",F23/E23,"")</f>
        <v>1.01575714285714</v>
      </c>
      <c r="J23" s="10" t="n">
        <f aca="false">IF($D23="Elegível",INDEX(Parâmetros!$C$5:$C$8,MATCH(I23,Parâmetros!$B$5:$B$8,1)),0)</f>
        <v>2500</v>
      </c>
      <c r="K23" s="10" t="n">
        <f aca="false">IF(AND($D23="Elegível",H23&gt;=G23),Parâmetros!$C$10,0)</f>
        <v>0</v>
      </c>
      <c r="L23" s="10" t="n">
        <f aca="false">J23+K23</f>
        <v>2500</v>
      </c>
      <c r="M23" s="10" t="n">
        <v>2500</v>
      </c>
      <c r="N23" s="7" t="str">
        <f aca="false">IF(L23=M23,"OK","DIVERGE")</f>
        <v>OK</v>
      </c>
    </row>
    <row r="24" customFormat="false" ht="15" hidden="false" customHeight="false" outlineLevel="0" collapsed="false">
      <c r="A24" s="7" t="s">
        <v>71</v>
      </c>
      <c r="B24" s="7" t="s">
        <v>72</v>
      </c>
      <c r="C24" s="7" t="s">
        <v>51</v>
      </c>
      <c r="D24" s="7" t="s">
        <v>30</v>
      </c>
      <c r="E24" s="8" t="n">
        <v>4100</v>
      </c>
      <c r="F24" s="8" t="n">
        <v>4533.6</v>
      </c>
      <c r="G24" s="7" t="n">
        <v>25</v>
      </c>
      <c r="H24" s="7" t="n">
        <v>25</v>
      </c>
      <c r="I24" s="9" t="n">
        <f aca="false">IF($D24="Elegível",F24/E24,"")</f>
        <v>1.10575609756098</v>
      </c>
      <c r="J24" s="10" t="n">
        <f aca="false">IF($D24="Elegível",INDEX(Parâmetros!$C$5:$C$8,MATCH(I24,Parâmetros!$B$5:$B$8,1)),0)</f>
        <v>2500</v>
      </c>
      <c r="K24" s="10" t="n">
        <f aca="false">IF(AND($D24="Elegível",H24&gt;=G24),Parâmetros!$C$10,0)</f>
        <v>1500</v>
      </c>
      <c r="L24" s="10" t="n">
        <f aca="false">J24+K24</f>
        <v>4000</v>
      </c>
      <c r="M24" s="10" t="n">
        <v>4000</v>
      </c>
      <c r="N24" s="7" t="str">
        <f aca="false">IF(L24=M24,"OK","DIVERGE")</f>
        <v>OK</v>
      </c>
    </row>
    <row r="25" customFormat="false" ht="15" hidden="false" customHeight="false" outlineLevel="0" collapsed="false">
      <c r="A25" s="7" t="s">
        <v>73</v>
      </c>
      <c r="B25" s="7" t="s">
        <v>74</v>
      </c>
      <c r="C25" s="7" t="s">
        <v>40</v>
      </c>
      <c r="D25" s="7" t="s">
        <v>30</v>
      </c>
      <c r="E25" s="8" t="n">
        <v>5400</v>
      </c>
      <c r="F25" s="8" t="n">
        <v>5212.2</v>
      </c>
      <c r="G25" s="7" t="n">
        <v>30</v>
      </c>
      <c r="H25" s="7" t="n">
        <v>30</v>
      </c>
      <c r="I25" s="9" t="n">
        <f aca="false">IF($D25="Elegível",F25/E25,"")</f>
        <v>0.965222222222222</v>
      </c>
      <c r="J25" s="10" t="n">
        <f aca="false">IF($D25="Elegível",INDEX(Parâmetros!$C$5:$C$8,MATCH(I25,Parâmetros!$B$5:$B$8,1)),0)</f>
        <v>1000</v>
      </c>
      <c r="K25" s="10" t="n">
        <f aca="false">IF(AND($D25="Elegível",H25&gt;=G25),Parâmetros!$C$10,0)</f>
        <v>1500</v>
      </c>
      <c r="L25" s="10" t="n">
        <f aca="false">J25+K25</f>
        <v>2500</v>
      </c>
      <c r="M25" s="10" t="n">
        <v>2500</v>
      </c>
      <c r="N25" s="7" t="str">
        <f aca="false">IF(L25=M25,"OK","DIVERGE")</f>
        <v>OK</v>
      </c>
    </row>
    <row r="26" customFormat="false" ht="15" hidden="false" customHeight="false" outlineLevel="0" collapsed="false">
      <c r="A26" s="7" t="s">
        <v>75</v>
      </c>
      <c r="B26" s="7" t="s">
        <v>76</v>
      </c>
      <c r="C26" s="7" t="s">
        <v>37</v>
      </c>
      <c r="D26" s="7" t="s">
        <v>30</v>
      </c>
      <c r="E26" s="8" t="n">
        <v>8300</v>
      </c>
      <c r="F26" s="8" t="n">
        <v>8459.9</v>
      </c>
      <c r="G26" s="7" t="n">
        <v>40</v>
      </c>
      <c r="H26" s="7" t="n">
        <v>39</v>
      </c>
      <c r="I26" s="9" t="n">
        <f aca="false">IF($D26="Elegível",F26/E26,"")</f>
        <v>1.01926506024096</v>
      </c>
      <c r="J26" s="10" t="n">
        <f aca="false">IF($D26="Elegível",INDEX(Parâmetros!$C$5:$C$8,MATCH(I26,Parâmetros!$B$5:$B$8,1)),0)</f>
        <v>2500</v>
      </c>
      <c r="K26" s="10" t="n">
        <f aca="false">IF(AND($D26="Elegível",H26&gt;=G26),Parâmetros!$C$10,0)</f>
        <v>0</v>
      </c>
      <c r="L26" s="10" t="n">
        <f aca="false">J26+K26</f>
        <v>2500</v>
      </c>
      <c r="M26" s="10" t="n">
        <v>2500</v>
      </c>
      <c r="N26" s="7" t="str">
        <f aca="false">IF(L26=M26,"OK","DIVERGE")</f>
        <v>OK</v>
      </c>
    </row>
    <row r="27" customFormat="false" ht="15" hidden="false" customHeight="false" outlineLevel="0" collapsed="false">
      <c r="A27" s="7" t="s">
        <v>77</v>
      </c>
      <c r="B27" s="7" t="s">
        <v>78</v>
      </c>
      <c r="C27" s="7" t="s">
        <v>40</v>
      </c>
      <c r="D27" s="7" t="s">
        <v>30</v>
      </c>
      <c r="E27" s="8" t="n">
        <v>4800</v>
      </c>
      <c r="F27" s="8" t="n">
        <v>3734.2</v>
      </c>
      <c r="G27" s="7" t="n">
        <v>30</v>
      </c>
      <c r="H27" s="7" t="n">
        <v>31</v>
      </c>
      <c r="I27" s="9" t="n">
        <f aca="false">IF($D27="Elegível",F27/E27,"")</f>
        <v>0.777958333333333</v>
      </c>
      <c r="J27" s="10" t="n">
        <f aca="false">IF($D27="Elegível",INDEX(Parâmetros!$C$5:$C$8,MATCH(I27,Parâmetros!$B$5:$B$8,1)),0)</f>
        <v>0</v>
      </c>
      <c r="K27" s="10" t="n">
        <f aca="false">IF(AND($D27="Elegível",H27&gt;=G27),Parâmetros!$C$10,0)</f>
        <v>1500</v>
      </c>
      <c r="L27" s="10" t="n">
        <f aca="false">J27+K27</f>
        <v>1500</v>
      </c>
      <c r="M27" s="10" t="n">
        <v>1500</v>
      </c>
      <c r="N27" s="7" t="str">
        <f aca="false">IF(L27=M27,"OK","DIVERGE")</f>
        <v>OK</v>
      </c>
    </row>
    <row r="28" customFormat="false" ht="15" hidden="false" customHeight="false" outlineLevel="0" collapsed="false">
      <c r="A28" s="7" t="s">
        <v>79</v>
      </c>
      <c r="B28" s="7" t="s">
        <v>80</v>
      </c>
      <c r="C28" s="7" t="s">
        <v>37</v>
      </c>
      <c r="D28" s="7" t="s">
        <v>30</v>
      </c>
      <c r="E28" s="8" t="n">
        <v>11700</v>
      </c>
      <c r="F28" s="8" t="n">
        <v>9937.8</v>
      </c>
      <c r="G28" s="7" t="n">
        <v>40</v>
      </c>
      <c r="H28" s="7" t="n">
        <v>40</v>
      </c>
      <c r="I28" s="9" t="n">
        <f aca="false">IF($D28="Elegível",F28/E28,"")</f>
        <v>0.849384615384615</v>
      </c>
      <c r="J28" s="10" t="n">
        <f aca="false">IF($D28="Elegível",INDEX(Parâmetros!$C$5:$C$8,MATCH(I28,Parâmetros!$B$5:$B$8,1)),0)</f>
        <v>1000</v>
      </c>
      <c r="K28" s="10" t="n">
        <f aca="false">IF(AND($D28="Elegível",H28&gt;=G28),Parâmetros!$C$10,0)</f>
        <v>1500</v>
      </c>
      <c r="L28" s="10" t="n">
        <f aca="false">J28+K28</f>
        <v>2500</v>
      </c>
      <c r="M28" s="10" t="n">
        <v>2500</v>
      </c>
      <c r="N28" s="7" t="str">
        <f aca="false">IF(L28=M28,"OK","DIVERGE")</f>
        <v>OK</v>
      </c>
    </row>
    <row r="29" customFormat="false" ht="15" hidden="false" customHeight="false" outlineLevel="0" collapsed="false">
      <c r="A29" s="7" t="s">
        <v>81</v>
      </c>
      <c r="B29" s="7" t="s">
        <v>82</v>
      </c>
      <c r="C29" s="7" t="s">
        <v>37</v>
      </c>
      <c r="D29" s="7" t="s">
        <v>30</v>
      </c>
      <c r="E29" s="8" t="n">
        <v>6700</v>
      </c>
      <c r="F29" s="8" t="n">
        <v>5223.4</v>
      </c>
      <c r="G29" s="7" t="n">
        <v>30</v>
      </c>
      <c r="H29" s="7" t="n">
        <v>29</v>
      </c>
      <c r="I29" s="9" t="n">
        <f aca="false">IF($D29="Elegível",F29/E29,"")</f>
        <v>0.779611940298507</v>
      </c>
      <c r="J29" s="10" t="n">
        <f aca="false">IF($D29="Elegível",INDEX(Parâmetros!$C$5:$C$8,MATCH(I29,Parâmetros!$B$5:$B$8,1)),0)</f>
        <v>0</v>
      </c>
      <c r="K29" s="10" t="n">
        <f aca="false">IF(AND($D29="Elegível",H29&gt;=G29),Parâmetros!$C$10,0)</f>
        <v>0</v>
      </c>
      <c r="L29" s="10" t="n">
        <f aca="false">J29+K29</f>
        <v>0</v>
      </c>
      <c r="M29" s="10" t="n">
        <v>0</v>
      </c>
      <c r="N29" s="7" t="str">
        <f aca="false">IF(L29=M29,"OK","DIVERGE")</f>
        <v>OK</v>
      </c>
    </row>
    <row r="30" customFormat="false" ht="15" hidden="false" customHeight="false" outlineLevel="0" collapsed="false">
      <c r="A30" s="7" t="s">
        <v>83</v>
      </c>
      <c r="B30" s="7" t="s">
        <v>84</v>
      </c>
      <c r="C30" s="7" t="s">
        <v>33</v>
      </c>
      <c r="D30" s="7" t="s">
        <v>30</v>
      </c>
      <c r="E30" s="8" t="n">
        <v>3200</v>
      </c>
      <c r="F30" s="8" t="n">
        <v>3696.8</v>
      </c>
      <c r="G30" s="7" t="n">
        <v>30</v>
      </c>
      <c r="H30" s="7" t="n">
        <v>26</v>
      </c>
      <c r="I30" s="9" t="n">
        <f aca="false">IF($D30="Elegível",F30/E30,"")</f>
        <v>1.15525</v>
      </c>
      <c r="J30" s="10" t="n">
        <f aca="false">IF($D30="Elegível",INDEX(Parâmetros!$C$5:$C$8,MATCH(I30,Parâmetros!$B$5:$B$8,1)),0)</f>
        <v>2500</v>
      </c>
      <c r="K30" s="10" t="n">
        <f aca="false">IF(AND($D30="Elegível",H30&gt;=G30),Parâmetros!$C$10,0)</f>
        <v>0</v>
      </c>
      <c r="L30" s="10" t="n">
        <f aca="false">J30+K30</f>
        <v>2500</v>
      </c>
      <c r="M30" s="10" t="n">
        <v>2500</v>
      </c>
      <c r="N30" s="7" t="str">
        <f aca="false">IF(L30=M30,"OK","DIVERGE")</f>
        <v>OK</v>
      </c>
    </row>
    <row r="31" customFormat="false" ht="15" hidden="false" customHeight="false" outlineLevel="0" collapsed="false">
      <c r="A31" s="7" t="s">
        <v>85</v>
      </c>
      <c r="B31" s="7" t="s">
        <v>86</v>
      </c>
      <c r="C31" s="7" t="s">
        <v>51</v>
      </c>
      <c r="D31" s="7" t="s">
        <v>30</v>
      </c>
      <c r="E31" s="8" t="n">
        <v>11000</v>
      </c>
      <c r="F31" s="8" t="n">
        <v>10285.8</v>
      </c>
      <c r="G31" s="7" t="n">
        <v>40</v>
      </c>
      <c r="H31" s="7" t="n">
        <v>37</v>
      </c>
      <c r="I31" s="9" t="n">
        <f aca="false">IF($D31="Elegível",F31/E31,"")</f>
        <v>0.935072727272727</v>
      </c>
      <c r="J31" s="10" t="n">
        <f aca="false">IF($D31="Elegível",INDEX(Parâmetros!$C$5:$C$8,MATCH(I31,Parâmetros!$B$5:$B$8,1)),0)</f>
        <v>1000</v>
      </c>
      <c r="K31" s="10" t="n">
        <f aca="false">IF(AND($D31="Elegível",H31&gt;=G31),Parâmetros!$C$10,0)</f>
        <v>0</v>
      </c>
      <c r="L31" s="10" t="n">
        <f aca="false">J31+K31</f>
        <v>1000</v>
      </c>
      <c r="M31" s="10" t="n">
        <v>1000</v>
      </c>
      <c r="N31" s="7" t="str">
        <f aca="false">IF(L31=M31,"OK","DIVERGE")</f>
        <v>OK</v>
      </c>
    </row>
    <row r="32" customFormat="false" ht="15" hidden="false" customHeight="false" outlineLevel="0" collapsed="false">
      <c r="A32" s="7" t="s">
        <v>87</v>
      </c>
      <c r="B32" s="7" t="s">
        <v>88</v>
      </c>
      <c r="C32" s="7" t="s">
        <v>40</v>
      </c>
      <c r="D32" s="7" t="s">
        <v>89</v>
      </c>
      <c r="E32" s="8"/>
      <c r="F32" s="8" t="n">
        <v>11211.5</v>
      </c>
      <c r="G32" s="7"/>
      <c r="H32" s="7" t="n">
        <v>42</v>
      </c>
      <c r="I32" s="9" t="str">
        <f aca="false">IF($D32="Elegível",F32/E32,"")</f>
        <v/>
      </c>
      <c r="J32" s="10" t="n">
        <f aca="false">IF($D32="Elegível",INDEX(Parâmetros!$C$5:$C$8,MATCH(I32,Parâmetros!$B$5:$B$8,1)),0)</f>
        <v>0</v>
      </c>
      <c r="K32" s="10" t="n">
        <f aca="false">IF(AND($D32="Elegível",H32&gt;=G32),Parâmetros!$C$10,0)</f>
        <v>0</v>
      </c>
      <c r="L32" s="10" t="n">
        <f aca="false">J32+K32</f>
        <v>0</v>
      </c>
      <c r="M32" s="10" t="n">
        <v>0</v>
      </c>
      <c r="N32" s="7" t="str">
        <f aca="false">IF(L32=M32,"OK","DIVERGE")</f>
        <v>OK</v>
      </c>
    </row>
    <row r="33" customFormat="false" ht="15" hidden="false" customHeight="false" outlineLevel="0" collapsed="false">
      <c r="A33" s="7" t="s">
        <v>90</v>
      </c>
      <c r="B33" s="7" t="s">
        <v>91</v>
      </c>
      <c r="C33" s="7" t="s">
        <v>40</v>
      </c>
      <c r="D33" s="7" t="s">
        <v>30</v>
      </c>
      <c r="E33" s="8" t="n">
        <v>11700</v>
      </c>
      <c r="F33" s="8" t="n">
        <v>10244.1</v>
      </c>
      <c r="G33" s="7" t="n">
        <v>30</v>
      </c>
      <c r="H33" s="7" t="n">
        <v>34</v>
      </c>
      <c r="I33" s="9" t="n">
        <f aca="false">IF($D33="Elegível",F33/E33,"")</f>
        <v>0.875564102564103</v>
      </c>
      <c r="J33" s="10" t="n">
        <f aca="false">IF($D33="Elegível",INDEX(Parâmetros!$C$5:$C$8,MATCH(I33,Parâmetros!$B$5:$B$8,1)),0)</f>
        <v>1000</v>
      </c>
      <c r="K33" s="10" t="n">
        <f aca="false">IF(AND($D33="Elegível",H33&gt;=G33),Parâmetros!$C$10,0)</f>
        <v>1500</v>
      </c>
      <c r="L33" s="10" t="n">
        <f aca="false">J33+K33</f>
        <v>2500</v>
      </c>
      <c r="M33" s="10" t="n">
        <v>2500</v>
      </c>
      <c r="N33" s="7" t="str">
        <f aca="false">IF(L33=M33,"OK","DIVERGE")</f>
        <v>OK</v>
      </c>
    </row>
    <row r="34" customFormat="false" ht="15" hidden="false" customHeight="false" outlineLevel="0" collapsed="false">
      <c r="A34" s="7" t="s">
        <v>92</v>
      </c>
      <c r="B34" s="7" t="s">
        <v>93</v>
      </c>
      <c r="C34" s="7" t="s">
        <v>51</v>
      </c>
      <c r="D34" s="7" t="s">
        <v>30</v>
      </c>
      <c r="E34" s="8" t="n">
        <v>9500</v>
      </c>
      <c r="F34" s="8" t="n">
        <v>9340.6</v>
      </c>
      <c r="G34" s="7" t="n">
        <v>35</v>
      </c>
      <c r="H34" s="7" t="n">
        <v>36</v>
      </c>
      <c r="I34" s="9" t="n">
        <f aca="false">IF($D34="Elegível",F34/E34,"")</f>
        <v>0.983221052631579</v>
      </c>
      <c r="J34" s="10" t="n">
        <f aca="false">IF($D34="Elegível",INDEX(Parâmetros!$C$5:$C$8,MATCH(I34,Parâmetros!$B$5:$B$8,1)),0)</f>
        <v>1000</v>
      </c>
      <c r="K34" s="10" t="n">
        <f aca="false">IF(AND($D34="Elegível",H34&gt;=G34),Parâmetros!$C$10,0)</f>
        <v>1500</v>
      </c>
      <c r="L34" s="10" t="n">
        <f aca="false">J34+K34</f>
        <v>2500</v>
      </c>
      <c r="M34" s="10" t="n">
        <v>2500</v>
      </c>
      <c r="N34" s="7" t="str">
        <f aca="false">IF(L34=M34,"OK","DIVERGE")</f>
        <v>OK</v>
      </c>
    </row>
    <row r="35" customFormat="false" ht="15" hidden="false" customHeight="false" outlineLevel="0" collapsed="false">
      <c r="A35" s="7" t="s">
        <v>94</v>
      </c>
      <c r="B35" s="7" t="s">
        <v>95</v>
      </c>
      <c r="C35" s="7" t="s">
        <v>40</v>
      </c>
      <c r="D35" s="7" t="s">
        <v>30</v>
      </c>
      <c r="E35" s="8" t="n">
        <v>12400</v>
      </c>
      <c r="F35" s="8" t="n">
        <v>11142.8</v>
      </c>
      <c r="G35" s="7" t="n">
        <v>45</v>
      </c>
      <c r="H35" s="7" t="n">
        <v>44</v>
      </c>
      <c r="I35" s="9" t="n">
        <f aca="false">IF($D35="Elegível",F35/E35,"")</f>
        <v>0.898612903225806</v>
      </c>
      <c r="J35" s="10" t="n">
        <f aca="false">IF($D35="Elegível",INDEX(Parâmetros!$C$5:$C$8,MATCH(I35,Parâmetros!$B$5:$B$8,1)),0)</f>
        <v>1000</v>
      </c>
      <c r="K35" s="10" t="n">
        <f aca="false">IF(AND($D35="Elegível",H35&gt;=G35),Parâmetros!$C$10,0)</f>
        <v>0</v>
      </c>
      <c r="L35" s="10" t="n">
        <f aca="false">J35+K35</f>
        <v>1000</v>
      </c>
      <c r="M35" s="10" t="n">
        <v>1000</v>
      </c>
      <c r="N35" s="7" t="str">
        <f aca="false">IF(L35=M35,"OK","DIVERGE")</f>
        <v>OK</v>
      </c>
    </row>
    <row r="36" customFormat="false" ht="15" hidden="false" customHeight="false" outlineLevel="0" collapsed="false">
      <c r="A36" s="7" t="s">
        <v>96</v>
      </c>
      <c r="B36" s="7" t="s">
        <v>97</v>
      </c>
      <c r="C36" s="7" t="s">
        <v>51</v>
      </c>
      <c r="D36" s="7" t="s">
        <v>30</v>
      </c>
      <c r="E36" s="8" t="n">
        <v>15500</v>
      </c>
      <c r="F36" s="8" t="n">
        <v>12354.9</v>
      </c>
      <c r="G36" s="7" t="n">
        <v>40</v>
      </c>
      <c r="H36" s="7" t="n">
        <v>40</v>
      </c>
      <c r="I36" s="9" t="n">
        <f aca="false">IF($D36="Elegível",F36/E36,"")</f>
        <v>0.797090322580645</v>
      </c>
      <c r="J36" s="10" t="n">
        <f aca="false">IF($D36="Elegível",INDEX(Parâmetros!$C$5:$C$8,MATCH(I36,Parâmetros!$B$5:$B$8,1)),0)</f>
        <v>0</v>
      </c>
      <c r="K36" s="10" t="n">
        <f aca="false">IF(AND($D36="Elegível",H36&gt;=G36),Parâmetros!$C$10,0)</f>
        <v>1500</v>
      </c>
      <c r="L36" s="10" t="n">
        <f aca="false">J36+K36</f>
        <v>1500</v>
      </c>
      <c r="M36" s="10" t="n">
        <v>1500</v>
      </c>
      <c r="N36" s="7" t="str">
        <f aca="false">IF(L36=M36,"OK","DIVERGE")</f>
        <v>OK</v>
      </c>
    </row>
    <row r="37" customFormat="false" ht="15" hidden="false" customHeight="false" outlineLevel="0" collapsed="false">
      <c r="A37" s="7" t="s">
        <v>98</v>
      </c>
      <c r="B37" s="7" t="s">
        <v>99</v>
      </c>
      <c r="C37" s="7" t="s">
        <v>51</v>
      </c>
      <c r="D37" s="7" t="s">
        <v>34</v>
      </c>
      <c r="E37" s="8" t="n">
        <v>15300</v>
      </c>
      <c r="F37" s="8" t="n">
        <v>12910.2</v>
      </c>
      <c r="G37" s="7" t="n">
        <v>45</v>
      </c>
      <c r="H37" s="7" t="n">
        <v>44</v>
      </c>
      <c r="I37" s="9" t="str">
        <f aca="false">IF($D37="Elegível",F37/E37,"")</f>
        <v/>
      </c>
      <c r="J37" s="10" t="n">
        <f aca="false">IF($D37="Elegível",INDEX(Parâmetros!$C$5:$C$8,MATCH(I37,Parâmetros!$B$5:$B$8,1)),0)</f>
        <v>0</v>
      </c>
      <c r="K37" s="10" t="n">
        <f aca="false">IF(AND($D37="Elegível",H37&gt;=G37),Parâmetros!$C$10,0)</f>
        <v>0</v>
      </c>
      <c r="L37" s="10" t="n">
        <f aca="false">J37+K37</f>
        <v>0</v>
      </c>
      <c r="M37" s="10" t="n">
        <v>0</v>
      </c>
      <c r="N37" s="7" t="str">
        <f aca="false">IF(L37=M37,"OK","DIVERGE")</f>
        <v>OK</v>
      </c>
    </row>
    <row r="38" customFormat="false" ht="15" hidden="false" customHeight="false" outlineLevel="0" collapsed="false">
      <c r="A38" s="7" t="s">
        <v>100</v>
      </c>
      <c r="B38" s="7" t="s">
        <v>39</v>
      </c>
      <c r="C38" s="7" t="s">
        <v>51</v>
      </c>
      <c r="D38" s="7" t="s">
        <v>89</v>
      </c>
      <c r="E38" s="8"/>
      <c r="F38" s="8" t="n">
        <v>8385.8</v>
      </c>
      <c r="G38" s="7"/>
      <c r="H38" s="7" t="n">
        <v>33</v>
      </c>
      <c r="I38" s="9" t="str">
        <f aca="false">IF($D38="Elegível",F38/E38,"")</f>
        <v/>
      </c>
      <c r="J38" s="10" t="n">
        <f aca="false">IF($D38="Elegível",INDEX(Parâmetros!$C$5:$C$8,MATCH(I38,Parâmetros!$B$5:$B$8,1)),0)</f>
        <v>0</v>
      </c>
      <c r="K38" s="10" t="n">
        <f aca="false">IF(AND($D38="Elegível",H38&gt;=G38),Parâmetros!$C$10,0)</f>
        <v>0</v>
      </c>
      <c r="L38" s="10" t="n">
        <f aca="false">J38+K38</f>
        <v>0</v>
      </c>
      <c r="M38" s="10" t="n">
        <v>0</v>
      </c>
      <c r="N38" s="7" t="str">
        <f aca="false">IF(L38=M38,"OK","DIVERGE")</f>
        <v>OK</v>
      </c>
    </row>
    <row r="39" customFormat="false" ht="15" hidden="false" customHeight="false" outlineLevel="0" collapsed="false">
      <c r="A39" s="7" t="s">
        <v>101</v>
      </c>
      <c r="B39" s="7" t="s">
        <v>78</v>
      </c>
      <c r="C39" s="7" t="s">
        <v>51</v>
      </c>
      <c r="D39" s="7" t="s">
        <v>30</v>
      </c>
      <c r="E39" s="8" t="n">
        <v>3300</v>
      </c>
      <c r="F39" s="8" t="n">
        <v>3681.6</v>
      </c>
      <c r="G39" s="7" t="n">
        <v>30</v>
      </c>
      <c r="H39" s="7" t="n">
        <v>29</v>
      </c>
      <c r="I39" s="9" t="n">
        <f aca="false">IF($D39="Elegível",F39/E39,"")</f>
        <v>1.11563636363636</v>
      </c>
      <c r="J39" s="10" t="n">
        <f aca="false">IF($D39="Elegível",INDEX(Parâmetros!$C$5:$C$8,MATCH(I39,Parâmetros!$B$5:$B$8,1)),0)</f>
        <v>2500</v>
      </c>
      <c r="K39" s="10" t="n">
        <f aca="false">IF(AND($D39="Elegível",H39&gt;=G39),Parâmetros!$C$10,0)</f>
        <v>0</v>
      </c>
      <c r="L39" s="10" t="n">
        <f aca="false">J39+K39</f>
        <v>2500</v>
      </c>
      <c r="M39" s="10" t="n">
        <v>2500</v>
      </c>
      <c r="N39" s="7" t="str">
        <f aca="false">IF(L39=M39,"OK","DIVERGE")</f>
        <v>OK</v>
      </c>
    </row>
    <row r="40" customFormat="false" ht="15" hidden="false" customHeight="false" outlineLevel="0" collapsed="false">
      <c r="A40" s="7" t="s">
        <v>102</v>
      </c>
      <c r="B40" s="7" t="s">
        <v>103</v>
      </c>
      <c r="C40" s="7" t="s">
        <v>37</v>
      </c>
      <c r="D40" s="7" t="s">
        <v>30</v>
      </c>
      <c r="E40" s="8" t="n">
        <v>10100</v>
      </c>
      <c r="F40" s="8" t="n">
        <v>10243.9</v>
      </c>
      <c r="G40" s="7" t="n">
        <v>40</v>
      </c>
      <c r="H40" s="7" t="n">
        <v>40</v>
      </c>
      <c r="I40" s="9" t="n">
        <f aca="false">IF($D40="Elegível",F40/E40,"")</f>
        <v>1.01424752475248</v>
      </c>
      <c r="J40" s="10" t="n">
        <f aca="false">IF($D40="Elegível",INDEX(Parâmetros!$C$5:$C$8,MATCH(I40,Parâmetros!$B$5:$B$8,1)),0)</f>
        <v>2500</v>
      </c>
      <c r="K40" s="10" t="n">
        <f aca="false">IF(AND($D40="Elegível",H40&gt;=G40),Parâmetros!$C$10,0)</f>
        <v>1500</v>
      </c>
      <c r="L40" s="10" t="n">
        <f aca="false">J40+K40</f>
        <v>4000</v>
      </c>
      <c r="M40" s="10" t="n">
        <v>4000</v>
      </c>
      <c r="N40" s="7" t="str">
        <f aca="false">IF(L40=M40,"OK","DIVERGE")</f>
        <v>OK</v>
      </c>
    </row>
    <row r="41" customFormat="false" ht="15" hidden="false" customHeight="false" outlineLevel="0" collapsed="false">
      <c r="A41" s="7" t="s">
        <v>104</v>
      </c>
      <c r="B41" s="7" t="s">
        <v>105</v>
      </c>
      <c r="C41" s="7" t="s">
        <v>33</v>
      </c>
      <c r="D41" s="7" t="s">
        <v>30</v>
      </c>
      <c r="E41" s="8" t="n">
        <v>3400</v>
      </c>
      <c r="F41" s="8" t="n">
        <v>2961.9</v>
      </c>
      <c r="G41" s="7" t="n">
        <v>20</v>
      </c>
      <c r="H41" s="7" t="n">
        <v>22</v>
      </c>
      <c r="I41" s="9" t="n">
        <f aca="false">IF($D41="Elegível",F41/E41,"")</f>
        <v>0.871147058823529</v>
      </c>
      <c r="J41" s="10" t="n">
        <f aca="false">IF($D41="Elegível",INDEX(Parâmetros!$C$5:$C$8,MATCH(I41,Parâmetros!$B$5:$B$8,1)),0)</f>
        <v>1000</v>
      </c>
      <c r="K41" s="10" t="n">
        <f aca="false">IF(AND($D41="Elegível",H41&gt;=G41),Parâmetros!$C$10,0)</f>
        <v>1500</v>
      </c>
      <c r="L41" s="10" t="n">
        <f aca="false">J41+K41</f>
        <v>2500</v>
      </c>
      <c r="M41" s="10" t="n">
        <v>2500</v>
      </c>
      <c r="N41" s="7" t="str">
        <f aca="false">IF(L41=M41,"OK","DIVERGE")</f>
        <v>OK</v>
      </c>
    </row>
    <row r="42" customFormat="false" ht="15" hidden="false" customHeight="false" outlineLevel="0" collapsed="false">
      <c r="A42" s="7" t="s">
        <v>106</v>
      </c>
      <c r="B42" s="7" t="s">
        <v>107</v>
      </c>
      <c r="C42" s="7" t="s">
        <v>40</v>
      </c>
      <c r="D42" s="7" t="s">
        <v>30</v>
      </c>
      <c r="E42" s="8" t="n">
        <v>4300</v>
      </c>
      <c r="F42" s="8" t="n">
        <v>3350</v>
      </c>
      <c r="G42" s="7" t="n">
        <v>30</v>
      </c>
      <c r="H42" s="7" t="n">
        <v>25</v>
      </c>
      <c r="I42" s="9" t="n">
        <f aca="false">IF($D42="Elegível",F42/E42,"")</f>
        <v>0.779069767441861</v>
      </c>
      <c r="J42" s="10" t="n">
        <f aca="false">IF($D42="Elegível",INDEX(Parâmetros!$C$5:$C$8,MATCH(I42,Parâmetros!$B$5:$B$8,1)),0)</f>
        <v>0</v>
      </c>
      <c r="K42" s="10" t="n">
        <f aca="false">IF(AND($D42="Elegível",H42&gt;=G42),Parâmetros!$C$10,0)</f>
        <v>0</v>
      </c>
      <c r="L42" s="10" t="n">
        <f aca="false">J42+K42</f>
        <v>0</v>
      </c>
      <c r="M42" s="10" t="n">
        <v>0</v>
      </c>
      <c r="N42" s="7" t="str">
        <f aca="false">IF(L42=M42,"OK","DIVERGE")</f>
        <v>OK</v>
      </c>
    </row>
    <row r="43" customFormat="false" ht="15" hidden="false" customHeight="false" outlineLevel="0" collapsed="false">
      <c r="A43" s="7" t="s">
        <v>108</v>
      </c>
      <c r="B43" s="7" t="s">
        <v>28</v>
      </c>
      <c r="C43" s="7" t="s">
        <v>40</v>
      </c>
      <c r="D43" s="7" t="s">
        <v>30</v>
      </c>
      <c r="E43" s="8" t="n">
        <v>4200</v>
      </c>
      <c r="F43" s="8" t="n">
        <v>3457.6</v>
      </c>
      <c r="G43" s="7" t="n">
        <v>30</v>
      </c>
      <c r="H43" s="7" t="n">
        <v>28</v>
      </c>
      <c r="I43" s="9" t="n">
        <f aca="false">IF($D43="Elegível",F43/E43,"")</f>
        <v>0.823238095238095</v>
      </c>
      <c r="J43" s="10" t="n">
        <f aca="false">IF($D43="Elegível",INDEX(Parâmetros!$C$5:$C$8,MATCH(I43,Parâmetros!$B$5:$B$8,1)),0)</f>
        <v>1000</v>
      </c>
      <c r="K43" s="10" t="n">
        <f aca="false">IF(AND($D43="Elegível",H43&gt;=G43),Parâmetros!$C$10,0)</f>
        <v>0</v>
      </c>
      <c r="L43" s="10" t="n">
        <f aca="false">J43+K43</f>
        <v>1000</v>
      </c>
      <c r="M43" s="10" t="n">
        <v>1000</v>
      </c>
      <c r="N43" s="7" t="str">
        <f aca="false">IF(L43=M43,"OK","DIVERGE")</f>
        <v>OK</v>
      </c>
    </row>
    <row r="44" customFormat="false" ht="15" hidden="false" customHeight="false" outlineLevel="0" collapsed="false">
      <c r="A44" s="7" t="s">
        <v>109</v>
      </c>
      <c r="B44" s="7" t="s">
        <v>110</v>
      </c>
      <c r="C44" s="7" t="s">
        <v>51</v>
      </c>
      <c r="D44" s="7" t="s">
        <v>30</v>
      </c>
      <c r="E44" s="8" t="n">
        <v>10500</v>
      </c>
      <c r="F44" s="8" t="n">
        <v>9843.9</v>
      </c>
      <c r="G44" s="7" t="n">
        <v>35</v>
      </c>
      <c r="H44" s="7" t="n">
        <v>36</v>
      </c>
      <c r="I44" s="9" t="n">
        <f aca="false">IF($D44="Elegível",F44/E44,"")</f>
        <v>0.937514285714286</v>
      </c>
      <c r="J44" s="10" t="n">
        <f aca="false">IF($D44="Elegível",INDEX(Parâmetros!$C$5:$C$8,MATCH(I44,Parâmetros!$B$5:$B$8,1)),0)</f>
        <v>1000</v>
      </c>
      <c r="K44" s="10" t="n">
        <f aca="false">IF(AND($D44="Elegível",H44&gt;=G44),Parâmetros!$C$10,0)</f>
        <v>1500</v>
      </c>
      <c r="L44" s="10" t="n">
        <f aca="false">J44+K44</f>
        <v>2500</v>
      </c>
      <c r="M44" s="10" t="n">
        <v>2500</v>
      </c>
      <c r="N44" s="7" t="str">
        <f aca="false">IF(L44=M44,"OK","DIVERGE")</f>
        <v>OK</v>
      </c>
    </row>
    <row r="45" customFormat="false" ht="15" hidden="false" customHeight="false" outlineLevel="0" collapsed="false">
      <c r="A45" s="7" t="s">
        <v>111</v>
      </c>
      <c r="B45" s="7" t="s">
        <v>112</v>
      </c>
      <c r="C45" s="7" t="s">
        <v>40</v>
      </c>
      <c r="D45" s="7" t="s">
        <v>30</v>
      </c>
      <c r="E45" s="8" t="n">
        <v>11600</v>
      </c>
      <c r="F45" s="8" t="n">
        <v>9819.6</v>
      </c>
      <c r="G45" s="7" t="n">
        <v>35</v>
      </c>
      <c r="H45" s="7" t="n">
        <v>36</v>
      </c>
      <c r="I45" s="9" t="n">
        <f aca="false">IF($D45="Elegível",F45/E45,"")</f>
        <v>0.84651724137931</v>
      </c>
      <c r="J45" s="10" t="n">
        <f aca="false">IF($D45="Elegível",INDEX(Parâmetros!$C$5:$C$8,MATCH(I45,Parâmetros!$B$5:$B$8,1)),0)</f>
        <v>1000</v>
      </c>
      <c r="K45" s="10" t="n">
        <f aca="false">IF(AND($D45="Elegível",H45&gt;=G45),Parâmetros!$C$10,0)</f>
        <v>1500</v>
      </c>
      <c r="L45" s="10" t="n">
        <f aca="false">J45+K45</f>
        <v>2500</v>
      </c>
      <c r="M45" s="10" t="n">
        <v>2500</v>
      </c>
      <c r="N45" s="7" t="str">
        <f aca="false">IF(L45=M45,"OK","DIVERGE")</f>
        <v>OK</v>
      </c>
    </row>
    <row r="46" customFormat="false" ht="15" hidden="false" customHeight="false" outlineLevel="0" collapsed="false">
      <c r="A46" s="7" t="s">
        <v>113</v>
      </c>
      <c r="B46" s="7" t="s">
        <v>114</v>
      </c>
      <c r="C46" s="7" t="s">
        <v>33</v>
      </c>
      <c r="D46" s="7" t="s">
        <v>30</v>
      </c>
      <c r="E46" s="8" t="n">
        <v>8100</v>
      </c>
      <c r="F46" s="8" t="n">
        <v>8588.9</v>
      </c>
      <c r="G46" s="7" t="n">
        <v>40</v>
      </c>
      <c r="H46" s="7" t="n">
        <v>37</v>
      </c>
      <c r="I46" s="9" t="n">
        <f aca="false">IF($D46="Elegível",F46/E46,"")</f>
        <v>1.06035802469136</v>
      </c>
      <c r="J46" s="10" t="n">
        <f aca="false">IF($D46="Elegível",INDEX(Parâmetros!$C$5:$C$8,MATCH(I46,Parâmetros!$B$5:$B$8,1)),0)</f>
        <v>2500</v>
      </c>
      <c r="K46" s="10" t="n">
        <f aca="false">IF(AND($D46="Elegível",H46&gt;=G46),Parâmetros!$C$10,0)</f>
        <v>0</v>
      </c>
      <c r="L46" s="10" t="n">
        <f aca="false">J46+K46</f>
        <v>2500</v>
      </c>
      <c r="M46" s="10" t="n">
        <v>2500</v>
      </c>
      <c r="N46" s="7" t="str">
        <f aca="false">IF(L46=M46,"OK","DIVERGE")</f>
        <v>OK</v>
      </c>
    </row>
    <row r="47" customFormat="false" ht="15" hidden="false" customHeight="false" outlineLevel="0" collapsed="false">
      <c r="A47" s="7" t="s">
        <v>115</v>
      </c>
      <c r="B47" s="7" t="s">
        <v>76</v>
      </c>
      <c r="C47" s="7" t="s">
        <v>51</v>
      </c>
      <c r="D47" s="7" t="s">
        <v>30</v>
      </c>
      <c r="E47" s="8" t="n">
        <v>3900</v>
      </c>
      <c r="F47" s="8" t="n">
        <v>4570.9</v>
      </c>
      <c r="G47" s="7" t="n">
        <v>30</v>
      </c>
      <c r="H47" s="7" t="n">
        <v>30</v>
      </c>
      <c r="I47" s="9" t="n">
        <f aca="false">IF($D47="Elegível",F47/E47,"")</f>
        <v>1.17202564102564</v>
      </c>
      <c r="J47" s="10" t="n">
        <f aca="false">IF($D47="Elegível",INDEX(Parâmetros!$C$5:$C$8,MATCH(I47,Parâmetros!$B$5:$B$8,1)),0)</f>
        <v>2500</v>
      </c>
      <c r="K47" s="10" t="n">
        <f aca="false">IF(AND($D47="Elegível",H47&gt;=G47),Parâmetros!$C$10,0)</f>
        <v>1500</v>
      </c>
      <c r="L47" s="10" t="n">
        <f aca="false">J47+K47</f>
        <v>4000</v>
      </c>
      <c r="M47" s="10" t="n">
        <v>4000</v>
      </c>
      <c r="N47" s="7" t="str">
        <f aca="false">IF(L47=M47,"OK","DIVERGE")</f>
        <v>OK</v>
      </c>
    </row>
    <row r="48" customFormat="false" ht="15" hidden="false" customHeight="false" outlineLevel="0" collapsed="false">
      <c r="A48" s="7" t="s">
        <v>116</v>
      </c>
      <c r="B48" s="7" t="s">
        <v>117</v>
      </c>
      <c r="C48" s="7" t="s">
        <v>33</v>
      </c>
      <c r="D48" s="7" t="s">
        <v>30</v>
      </c>
      <c r="E48" s="8" t="n">
        <v>2200</v>
      </c>
      <c r="F48" s="8" t="n">
        <v>2335.1</v>
      </c>
      <c r="G48" s="7" t="n">
        <v>20</v>
      </c>
      <c r="H48" s="7" t="n">
        <v>21</v>
      </c>
      <c r="I48" s="9" t="n">
        <f aca="false">IF($D48="Elegível",F48/E48,"")</f>
        <v>1.06140909090909</v>
      </c>
      <c r="J48" s="10" t="n">
        <f aca="false">IF($D48="Elegível",INDEX(Parâmetros!$C$5:$C$8,MATCH(I48,Parâmetros!$B$5:$B$8,1)),0)</f>
        <v>2500</v>
      </c>
      <c r="K48" s="10" t="n">
        <f aca="false">IF(AND($D48="Elegível",H48&gt;=G48),Parâmetros!$C$10,0)</f>
        <v>1500</v>
      </c>
      <c r="L48" s="10" t="n">
        <f aca="false">J48+K48</f>
        <v>4000</v>
      </c>
      <c r="M48" s="10" t="n">
        <v>4000</v>
      </c>
      <c r="N48" s="7" t="str">
        <f aca="false">IF(L48=M48,"OK","DIVERGE")</f>
        <v>OK</v>
      </c>
    </row>
    <row r="49" customFormat="false" ht="15" hidden="false" customHeight="false" outlineLevel="0" collapsed="false">
      <c r="A49" s="7" t="s">
        <v>118</v>
      </c>
      <c r="B49" s="7" t="s">
        <v>119</v>
      </c>
      <c r="C49" s="7" t="s">
        <v>29</v>
      </c>
      <c r="D49" s="7" t="s">
        <v>30</v>
      </c>
      <c r="E49" s="8" t="n">
        <v>5800</v>
      </c>
      <c r="F49" s="8" t="n">
        <v>6610.3</v>
      </c>
      <c r="G49" s="7" t="n">
        <v>30</v>
      </c>
      <c r="H49" s="7" t="n">
        <v>34</v>
      </c>
      <c r="I49" s="9" t="n">
        <f aca="false">IF($D49="Elegível",F49/E49,"")</f>
        <v>1.13970689655172</v>
      </c>
      <c r="J49" s="10" t="n">
        <f aca="false">IF($D49="Elegível",INDEX(Parâmetros!$C$5:$C$8,MATCH(I49,Parâmetros!$B$5:$B$8,1)),0)</f>
        <v>2500</v>
      </c>
      <c r="K49" s="10" t="n">
        <f aca="false">IF(AND($D49="Elegível",H49&gt;=G49),Parâmetros!$C$10,0)</f>
        <v>1500</v>
      </c>
      <c r="L49" s="10" t="n">
        <f aca="false">J49+K49</f>
        <v>4000</v>
      </c>
      <c r="M49" s="10" t="n">
        <v>4000</v>
      </c>
      <c r="N49" s="7" t="str">
        <f aca="false">IF(L49=M49,"OK","DIVERGE")</f>
        <v>OK</v>
      </c>
    </row>
    <row r="50" customFormat="false" ht="15" hidden="false" customHeight="false" outlineLevel="0" collapsed="false">
      <c r="A50" s="7" t="s">
        <v>120</v>
      </c>
      <c r="B50" s="7" t="s">
        <v>121</v>
      </c>
      <c r="C50" s="7" t="s">
        <v>51</v>
      </c>
      <c r="D50" s="7" t="s">
        <v>30</v>
      </c>
      <c r="E50" s="8" t="n">
        <v>2700</v>
      </c>
      <c r="F50" s="8" t="n">
        <v>2504</v>
      </c>
      <c r="G50" s="7" t="n">
        <v>20</v>
      </c>
      <c r="H50" s="7" t="n">
        <v>20</v>
      </c>
      <c r="I50" s="9" t="n">
        <f aca="false">IF($D50="Elegível",F50/E50,"")</f>
        <v>0.927407407407408</v>
      </c>
      <c r="J50" s="10" t="n">
        <f aca="false">IF($D50="Elegível",INDEX(Parâmetros!$C$5:$C$8,MATCH(I50,Parâmetros!$B$5:$B$8,1)),0)</f>
        <v>1000</v>
      </c>
      <c r="K50" s="10" t="n">
        <f aca="false">IF(AND($D50="Elegível",H50&gt;=G50),Parâmetros!$C$10,0)</f>
        <v>1500</v>
      </c>
      <c r="L50" s="10" t="n">
        <f aca="false">J50+K50</f>
        <v>2500</v>
      </c>
      <c r="M50" s="10" t="n">
        <v>2500</v>
      </c>
      <c r="N50" s="7" t="str">
        <f aca="false">IF(L50=M50,"OK","DIVERGE")</f>
        <v>OK</v>
      </c>
    </row>
    <row r="51" customFormat="false" ht="15" hidden="false" customHeight="false" outlineLevel="0" collapsed="false">
      <c r="A51" s="7" t="s">
        <v>122</v>
      </c>
      <c r="B51" s="7" t="s">
        <v>123</v>
      </c>
      <c r="C51" s="7" t="s">
        <v>33</v>
      </c>
      <c r="D51" s="7" t="s">
        <v>30</v>
      </c>
      <c r="E51" s="8" t="n">
        <v>11500</v>
      </c>
      <c r="F51" s="8" t="n">
        <v>9637.4</v>
      </c>
      <c r="G51" s="7" t="n">
        <v>35</v>
      </c>
      <c r="H51" s="7" t="n">
        <v>37</v>
      </c>
      <c r="I51" s="9" t="n">
        <f aca="false">IF($D51="Elegível",F51/E51,"")</f>
        <v>0.838034782608696</v>
      </c>
      <c r="J51" s="10" t="n">
        <f aca="false">IF($D51="Elegível",INDEX(Parâmetros!$C$5:$C$8,MATCH(I51,Parâmetros!$B$5:$B$8,1)),0)</f>
        <v>1000</v>
      </c>
      <c r="K51" s="10" t="n">
        <f aca="false">IF(AND($D51="Elegível",H51&gt;=G51),Parâmetros!$C$10,0)</f>
        <v>1500</v>
      </c>
      <c r="L51" s="10" t="n">
        <f aca="false">J51+K51</f>
        <v>2500</v>
      </c>
      <c r="M51" s="10" t="n">
        <v>2500</v>
      </c>
      <c r="N51" s="7" t="str">
        <f aca="false">IF(L51=M51,"OK","DIVERGE")</f>
        <v>OK</v>
      </c>
    </row>
    <row r="52" customFormat="false" ht="15" hidden="false" customHeight="false" outlineLevel="0" collapsed="false">
      <c r="A52" s="7" t="s">
        <v>124</v>
      </c>
      <c r="B52" s="7" t="s">
        <v>125</v>
      </c>
      <c r="C52" s="7" t="s">
        <v>37</v>
      </c>
      <c r="D52" s="7" t="s">
        <v>30</v>
      </c>
      <c r="E52" s="8" t="n">
        <v>4200</v>
      </c>
      <c r="F52" s="8" t="n">
        <v>3621.6</v>
      </c>
      <c r="G52" s="7" t="n">
        <v>25</v>
      </c>
      <c r="H52" s="7" t="n">
        <v>22</v>
      </c>
      <c r="I52" s="9" t="n">
        <f aca="false">IF($D52="Elegível",F52/E52,"")</f>
        <v>0.862285714285714</v>
      </c>
      <c r="J52" s="10" t="n">
        <f aca="false">IF($D52="Elegível",INDEX(Parâmetros!$C$5:$C$8,MATCH(I52,Parâmetros!$B$5:$B$8,1)),0)</f>
        <v>1000</v>
      </c>
      <c r="K52" s="10" t="n">
        <f aca="false">IF(AND($D52="Elegível",H52&gt;=G52),Parâmetros!$C$10,0)</f>
        <v>0</v>
      </c>
      <c r="L52" s="10" t="n">
        <f aca="false">J52+K52</f>
        <v>1000</v>
      </c>
      <c r="M52" s="10" t="n">
        <v>1000</v>
      </c>
      <c r="N52" s="7" t="str">
        <f aca="false">IF(L52=M52,"OK","DIVERGE")</f>
        <v>OK</v>
      </c>
    </row>
    <row r="53" customFormat="false" ht="15" hidden="false" customHeight="false" outlineLevel="0" collapsed="false">
      <c r="A53" s="7" t="s">
        <v>126</v>
      </c>
      <c r="B53" s="7" t="s">
        <v>127</v>
      </c>
      <c r="C53" s="7" t="s">
        <v>33</v>
      </c>
      <c r="D53" s="7" t="s">
        <v>30</v>
      </c>
      <c r="E53" s="8" t="n">
        <v>6100</v>
      </c>
      <c r="F53" s="8" t="n">
        <v>7253.8</v>
      </c>
      <c r="G53" s="7" t="n">
        <v>30</v>
      </c>
      <c r="H53" s="7" t="n">
        <v>32</v>
      </c>
      <c r="I53" s="9" t="n">
        <f aca="false">IF($D53="Elegível",F53/E53,"")</f>
        <v>1.18914754098361</v>
      </c>
      <c r="J53" s="10" t="n">
        <f aca="false">IF($D53="Elegível",INDEX(Parâmetros!$C$5:$C$8,MATCH(I53,Parâmetros!$B$5:$B$8,1)),0)</f>
        <v>2500</v>
      </c>
      <c r="K53" s="10" t="n">
        <f aca="false">IF(AND($D53="Elegível",H53&gt;=G53),Parâmetros!$C$10,0)</f>
        <v>1500</v>
      </c>
      <c r="L53" s="10" t="n">
        <f aca="false">J53+K53</f>
        <v>4000</v>
      </c>
      <c r="M53" s="10" t="n">
        <v>4000</v>
      </c>
      <c r="N53" s="7" t="str">
        <f aca="false">IF(L53=M53,"OK","DIVERGE")</f>
        <v>OK</v>
      </c>
    </row>
    <row r="54" customFormat="false" ht="15" hidden="false" customHeight="false" outlineLevel="0" collapsed="false">
      <c r="A54" s="7" t="s">
        <v>128</v>
      </c>
      <c r="B54" s="7" t="s">
        <v>129</v>
      </c>
      <c r="C54" s="7" t="s">
        <v>37</v>
      </c>
      <c r="D54" s="7" t="s">
        <v>89</v>
      </c>
      <c r="E54" s="8"/>
      <c r="F54" s="8" t="n">
        <v>2668.7</v>
      </c>
      <c r="G54" s="7"/>
      <c r="H54" s="7" t="n">
        <v>27</v>
      </c>
      <c r="I54" s="9" t="str">
        <f aca="false">IF($D54="Elegível",F54/E54,"")</f>
        <v/>
      </c>
      <c r="J54" s="10" t="n">
        <f aca="false">IF($D54="Elegível",INDEX(Parâmetros!$C$5:$C$8,MATCH(I54,Parâmetros!$B$5:$B$8,1)),0)</f>
        <v>0</v>
      </c>
      <c r="K54" s="10" t="n">
        <f aca="false">IF(AND($D54="Elegível",H54&gt;=G54),Parâmetros!$C$10,0)</f>
        <v>0</v>
      </c>
      <c r="L54" s="10" t="n">
        <f aca="false">J54+K54</f>
        <v>0</v>
      </c>
      <c r="M54" s="10" t="n">
        <v>0</v>
      </c>
      <c r="N54" s="7" t="str">
        <f aca="false">IF(L54=M54,"OK","DIVERGE")</f>
        <v>OK</v>
      </c>
    </row>
    <row r="55" customFormat="false" ht="15" hidden="false" customHeight="false" outlineLevel="0" collapsed="false">
      <c r="A55" s="7" t="s">
        <v>130</v>
      </c>
      <c r="B55" s="7" t="s">
        <v>123</v>
      </c>
      <c r="C55" s="7" t="s">
        <v>40</v>
      </c>
      <c r="D55" s="7" t="s">
        <v>30</v>
      </c>
      <c r="E55" s="8" t="n">
        <v>12800</v>
      </c>
      <c r="F55" s="8" t="n">
        <v>10538.2</v>
      </c>
      <c r="G55" s="7" t="n">
        <v>35</v>
      </c>
      <c r="H55" s="7" t="n">
        <v>35</v>
      </c>
      <c r="I55" s="9" t="n">
        <f aca="false">IF($D55="Elegível",F55/E55,"")</f>
        <v>0.823296875</v>
      </c>
      <c r="J55" s="10" t="n">
        <f aca="false">IF($D55="Elegível",INDEX(Parâmetros!$C$5:$C$8,MATCH(I55,Parâmetros!$B$5:$B$8,1)),0)</f>
        <v>1000</v>
      </c>
      <c r="K55" s="10" t="n">
        <f aca="false">IF(AND($D55="Elegível",H55&gt;=G55),Parâmetros!$C$10,0)</f>
        <v>1500</v>
      </c>
      <c r="L55" s="10" t="n">
        <f aca="false">J55+K55</f>
        <v>2500</v>
      </c>
      <c r="M55" s="10" t="n">
        <v>2500</v>
      </c>
      <c r="N55" s="7" t="str">
        <f aca="false">IF(L55=M55,"OK","DIVERGE")</f>
        <v>OK</v>
      </c>
    </row>
    <row r="56" customFormat="false" ht="15" hidden="false" customHeight="false" outlineLevel="0" collapsed="false">
      <c r="A56" s="7" t="s">
        <v>131</v>
      </c>
      <c r="B56" s="7" t="s">
        <v>132</v>
      </c>
      <c r="C56" s="7" t="s">
        <v>51</v>
      </c>
      <c r="D56" s="7" t="s">
        <v>30</v>
      </c>
      <c r="E56" s="8" t="n">
        <v>4600</v>
      </c>
      <c r="F56" s="8" t="n">
        <v>4961.5</v>
      </c>
      <c r="G56" s="7" t="n">
        <v>35</v>
      </c>
      <c r="H56" s="7" t="n">
        <v>35</v>
      </c>
      <c r="I56" s="9" t="n">
        <f aca="false">IF($D56="Elegível",F56/E56,"")</f>
        <v>1.07858695652174</v>
      </c>
      <c r="J56" s="10" t="n">
        <f aca="false">IF($D56="Elegível",INDEX(Parâmetros!$C$5:$C$8,MATCH(I56,Parâmetros!$B$5:$B$8,1)),0)</f>
        <v>2500</v>
      </c>
      <c r="K56" s="10" t="n">
        <f aca="false">IF(AND($D56="Elegível",H56&gt;=G56),Parâmetros!$C$10,0)</f>
        <v>1500</v>
      </c>
      <c r="L56" s="10" t="n">
        <f aca="false">J56+K56</f>
        <v>4000</v>
      </c>
      <c r="M56" s="10" t="n">
        <v>4000</v>
      </c>
      <c r="N56" s="7" t="str">
        <f aca="false">IF(L56=M56,"OK","DIVERGE")</f>
        <v>OK</v>
      </c>
    </row>
    <row r="57" customFormat="false" ht="15" hidden="false" customHeight="false" outlineLevel="0" collapsed="false">
      <c r="A57" s="7" t="s">
        <v>133</v>
      </c>
      <c r="B57" s="7" t="s">
        <v>134</v>
      </c>
      <c r="C57" s="7" t="s">
        <v>40</v>
      </c>
      <c r="D57" s="7" t="s">
        <v>30</v>
      </c>
      <c r="E57" s="8" t="n">
        <v>5000</v>
      </c>
      <c r="F57" s="8" t="n">
        <v>6137.5</v>
      </c>
      <c r="G57" s="7" t="n">
        <v>35</v>
      </c>
      <c r="H57" s="7" t="n">
        <v>30</v>
      </c>
      <c r="I57" s="9" t="n">
        <f aca="false">IF($D57="Elegível",F57/E57,"")</f>
        <v>1.2275</v>
      </c>
      <c r="J57" s="10" t="n">
        <f aca="false">IF($D57="Elegível",INDEX(Parâmetros!$C$5:$C$8,MATCH(I57,Parâmetros!$B$5:$B$8,1)),0)</f>
        <v>4000</v>
      </c>
      <c r="K57" s="10" t="n">
        <f aca="false">IF(AND($D57="Elegível",H57&gt;=G57),Parâmetros!$C$10,0)</f>
        <v>0</v>
      </c>
      <c r="L57" s="10" t="n">
        <f aca="false">J57+K57</f>
        <v>4000</v>
      </c>
      <c r="M57" s="10" t="n">
        <v>4000</v>
      </c>
      <c r="N57" s="7" t="str">
        <f aca="false">IF(L57=M57,"OK","DIVERGE")</f>
        <v>OK</v>
      </c>
    </row>
    <row r="58" customFormat="false" ht="15" hidden="false" customHeight="false" outlineLevel="0" collapsed="false">
      <c r="A58" s="7" t="s">
        <v>135</v>
      </c>
      <c r="B58" s="7" t="s">
        <v>136</v>
      </c>
      <c r="C58" s="7" t="s">
        <v>37</v>
      </c>
      <c r="D58" s="7" t="s">
        <v>30</v>
      </c>
      <c r="E58" s="8" t="n">
        <v>3800</v>
      </c>
      <c r="F58" s="8" t="n">
        <v>3166.7</v>
      </c>
      <c r="G58" s="7" t="n">
        <v>25</v>
      </c>
      <c r="H58" s="7" t="n">
        <v>22</v>
      </c>
      <c r="I58" s="9" t="n">
        <f aca="false">IF($D58="Elegível",F58/E58,"")</f>
        <v>0.833342105263158</v>
      </c>
      <c r="J58" s="10" t="n">
        <f aca="false">IF($D58="Elegível",INDEX(Parâmetros!$C$5:$C$8,MATCH(I58,Parâmetros!$B$5:$B$8,1)),0)</f>
        <v>1000</v>
      </c>
      <c r="K58" s="10" t="n">
        <f aca="false">IF(AND($D58="Elegível",H58&gt;=G58),Parâmetros!$C$10,0)</f>
        <v>0</v>
      </c>
      <c r="L58" s="10" t="n">
        <f aca="false">J58+K58</f>
        <v>1000</v>
      </c>
      <c r="M58" s="10" t="n">
        <v>1000</v>
      </c>
      <c r="N58" s="7" t="str">
        <f aca="false">IF(L58=M58,"OK","DIVERGE")</f>
        <v>OK</v>
      </c>
    </row>
    <row r="59" customFormat="false" ht="15" hidden="false" customHeight="false" outlineLevel="0" collapsed="false">
      <c r="A59" s="7" t="s">
        <v>137</v>
      </c>
      <c r="B59" s="7" t="s">
        <v>103</v>
      </c>
      <c r="C59" s="7" t="s">
        <v>51</v>
      </c>
      <c r="D59" s="7" t="s">
        <v>30</v>
      </c>
      <c r="E59" s="8" t="n">
        <v>10300</v>
      </c>
      <c r="F59" s="8" t="n">
        <v>10355.4</v>
      </c>
      <c r="G59" s="7" t="n">
        <v>35</v>
      </c>
      <c r="H59" s="7" t="n">
        <v>37</v>
      </c>
      <c r="I59" s="9" t="n">
        <f aca="false">IF($D59="Elegível",F59/E59,"")</f>
        <v>1.0053786407767</v>
      </c>
      <c r="J59" s="10" t="n">
        <f aca="false">IF($D59="Elegível",INDEX(Parâmetros!$C$5:$C$8,MATCH(I59,Parâmetros!$B$5:$B$8,1)),0)</f>
        <v>2500</v>
      </c>
      <c r="K59" s="10" t="n">
        <f aca="false">IF(AND($D59="Elegível",H59&gt;=G59),Parâmetros!$C$10,0)</f>
        <v>1500</v>
      </c>
      <c r="L59" s="10" t="n">
        <f aca="false">J59+K59</f>
        <v>4000</v>
      </c>
      <c r="M59" s="10" t="n">
        <v>4000</v>
      </c>
      <c r="N59" s="7" t="str">
        <f aca="false">IF(L59=M59,"OK","DIVERGE")</f>
        <v>OK</v>
      </c>
    </row>
    <row r="60" customFormat="false" ht="15" hidden="false" customHeight="false" outlineLevel="0" collapsed="false">
      <c r="A60" s="7" t="s">
        <v>138</v>
      </c>
      <c r="B60" s="7" t="s">
        <v>139</v>
      </c>
      <c r="C60" s="7" t="s">
        <v>51</v>
      </c>
      <c r="D60" s="7" t="s">
        <v>30</v>
      </c>
      <c r="E60" s="8" t="n">
        <v>10600</v>
      </c>
      <c r="F60" s="8" t="n">
        <v>10128.4</v>
      </c>
      <c r="G60" s="7" t="n">
        <v>35</v>
      </c>
      <c r="H60" s="7" t="n">
        <v>37</v>
      </c>
      <c r="I60" s="9" t="n">
        <f aca="false">IF($D60="Elegível",F60/E60,"")</f>
        <v>0.955509433962264</v>
      </c>
      <c r="J60" s="10" t="n">
        <f aca="false">IF($D60="Elegível",INDEX(Parâmetros!$C$5:$C$8,MATCH(I60,Parâmetros!$B$5:$B$8,1)),0)</f>
        <v>1000</v>
      </c>
      <c r="K60" s="10" t="n">
        <f aca="false">IF(AND($D60="Elegível",H60&gt;=G60),Parâmetros!$C$10,0)</f>
        <v>1500</v>
      </c>
      <c r="L60" s="10" t="n">
        <f aca="false">J60+K60</f>
        <v>2500</v>
      </c>
      <c r="M60" s="10" t="n">
        <v>2500</v>
      </c>
      <c r="N60" s="7" t="str">
        <f aca="false">IF(L60=M60,"OK","DIVERGE")</f>
        <v>OK</v>
      </c>
    </row>
    <row r="61" customFormat="false" ht="15" hidden="false" customHeight="false" outlineLevel="0" collapsed="false">
      <c r="A61" s="7" t="s">
        <v>140</v>
      </c>
      <c r="B61" s="7" t="s">
        <v>141</v>
      </c>
      <c r="C61" s="7" t="s">
        <v>37</v>
      </c>
      <c r="D61" s="7" t="s">
        <v>30</v>
      </c>
      <c r="E61" s="8" t="n">
        <v>3100</v>
      </c>
      <c r="F61" s="8" t="n">
        <v>3884.5</v>
      </c>
      <c r="G61" s="7" t="n">
        <v>25</v>
      </c>
      <c r="H61" s="7" t="n">
        <v>26</v>
      </c>
      <c r="I61" s="9" t="n">
        <f aca="false">IF($D61="Elegível",F61/E61,"")</f>
        <v>1.25306451612903</v>
      </c>
      <c r="J61" s="10" t="n">
        <f aca="false">IF($D61="Elegível",INDEX(Parâmetros!$C$5:$C$8,MATCH(I61,Parâmetros!$B$5:$B$8,1)),0)</f>
        <v>4000</v>
      </c>
      <c r="K61" s="10" t="n">
        <f aca="false">IF(AND($D61="Elegível",H61&gt;=G61),Parâmetros!$C$10,0)</f>
        <v>1500</v>
      </c>
      <c r="L61" s="10" t="n">
        <f aca="false">J61+K61</f>
        <v>5500</v>
      </c>
      <c r="M61" s="10" t="n">
        <v>5500</v>
      </c>
      <c r="N61" s="7" t="str">
        <f aca="false">IF(L61=M61,"OK","DIVERGE")</f>
        <v>OK</v>
      </c>
    </row>
    <row r="62" customFormat="false" ht="15" hidden="false" customHeight="false" outlineLevel="0" collapsed="false">
      <c r="A62" s="7" t="s">
        <v>142</v>
      </c>
      <c r="B62" s="7" t="s">
        <v>143</v>
      </c>
      <c r="C62" s="7" t="s">
        <v>51</v>
      </c>
      <c r="D62" s="7" t="s">
        <v>30</v>
      </c>
      <c r="E62" s="8" t="n">
        <v>14000</v>
      </c>
      <c r="F62" s="8" t="n">
        <v>10574.3</v>
      </c>
      <c r="G62" s="7" t="n">
        <v>40</v>
      </c>
      <c r="H62" s="7" t="n">
        <v>41</v>
      </c>
      <c r="I62" s="9" t="n">
        <f aca="false">IF($D62="Elegível",F62/E62,"")</f>
        <v>0.755307142857143</v>
      </c>
      <c r="J62" s="10" t="n">
        <f aca="false">IF($D62="Elegível",INDEX(Parâmetros!$C$5:$C$8,MATCH(I62,Parâmetros!$B$5:$B$8,1)),0)</f>
        <v>0</v>
      </c>
      <c r="K62" s="10" t="n">
        <f aca="false">IF(AND($D62="Elegível",H62&gt;=G62),Parâmetros!$C$10,0)</f>
        <v>1500</v>
      </c>
      <c r="L62" s="10" t="n">
        <f aca="false">J62+K62</f>
        <v>1500</v>
      </c>
      <c r="M62" s="10" t="n">
        <v>1500</v>
      </c>
      <c r="N62" s="7" t="str">
        <f aca="false">IF(L62=M62,"OK","DIVERGE")</f>
        <v>OK</v>
      </c>
    </row>
    <row r="63" customFormat="false" ht="15" hidden="false" customHeight="false" outlineLevel="0" collapsed="false">
      <c r="A63" s="7" t="s">
        <v>144</v>
      </c>
      <c r="B63" s="7" t="s">
        <v>145</v>
      </c>
      <c r="C63" s="7" t="s">
        <v>51</v>
      </c>
      <c r="D63" s="7" t="s">
        <v>30</v>
      </c>
      <c r="E63" s="8" t="n">
        <v>3800</v>
      </c>
      <c r="F63" s="8" t="n">
        <v>4141.4</v>
      </c>
      <c r="G63" s="7" t="n">
        <v>25</v>
      </c>
      <c r="H63" s="7" t="n">
        <v>25</v>
      </c>
      <c r="I63" s="9" t="n">
        <f aca="false">IF($D63="Elegível",F63/E63,"")</f>
        <v>1.08984210526316</v>
      </c>
      <c r="J63" s="10" t="n">
        <f aca="false">IF($D63="Elegível",INDEX(Parâmetros!$C$5:$C$8,MATCH(I63,Parâmetros!$B$5:$B$8,1)),0)</f>
        <v>2500</v>
      </c>
      <c r="K63" s="10" t="n">
        <f aca="false">IF(AND($D63="Elegível",H63&gt;=G63),Parâmetros!$C$10,0)</f>
        <v>1500</v>
      </c>
      <c r="L63" s="10" t="n">
        <f aca="false">J63+K63</f>
        <v>4000</v>
      </c>
      <c r="M63" s="10" t="n">
        <v>4000</v>
      </c>
      <c r="N63" s="7" t="str">
        <f aca="false">IF(L63=M63,"OK","DIVERGE")</f>
        <v>OK</v>
      </c>
    </row>
    <row r="64" customFormat="false" ht="15" hidden="false" customHeight="false" outlineLevel="0" collapsed="false">
      <c r="A64" s="7" t="s">
        <v>146</v>
      </c>
      <c r="B64" s="7" t="s">
        <v>147</v>
      </c>
      <c r="C64" s="7" t="s">
        <v>51</v>
      </c>
      <c r="D64" s="7" t="s">
        <v>30</v>
      </c>
      <c r="E64" s="8" t="n">
        <v>3100</v>
      </c>
      <c r="F64" s="8" t="n">
        <v>3626.8</v>
      </c>
      <c r="G64" s="7" t="n">
        <v>25</v>
      </c>
      <c r="H64" s="7" t="n">
        <v>21</v>
      </c>
      <c r="I64" s="9" t="n">
        <f aca="false">IF($D64="Elegível",F64/E64,"")</f>
        <v>1.16993548387097</v>
      </c>
      <c r="J64" s="10" t="n">
        <f aca="false">IF($D64="Elegível",INDEX(Parâmetros!$C$5:$C$8,MATCH(I64,Parâmetros!$B$5:$B$8,1)),0)</f>
        <v>2500</v>
      </c>
      <c r="K64" s="10" t="n">
        <f aca="false">IF(AND($D64="Elegível",H64&gt;=G64),Parâmetros!$C$10,0)</f>
        <v>0</v>
      </c>
      <c r="L64" s="10" t="n">
        <f aca="false">J64+K64</f>
        <v>2500</v>
      </c>
      <c r="M64" s="10" t="n">
        <v>2500</v>
      </c>
      <c r="N64" s="7" t="str">
        <f aca="false">IF(L64=M64,"OK","DIVERGE")</f>
        <v>OK</v>
      </c>
    </row>
    <row r="65" customFormat="false" ht="15" hidden="false" customHeight="false" outlineLevel="0" collapsed="false">
      <c r="A65" s="7" t="s">
        <v>148</v>
      </c>
      <c r="B65" s="7" t="s">
        <v>42</v>
      </c>
      <c r="C65" s="7" t="s">
        <v>40</v>
      </c>
      <c r="D65" s="7" t="s">
        <v>30</v>
      </c>
      <c r="E65" s="8" t="n">
        <v>17000</v>
      </c>
      <c r="F65" s="8" t="n">
        <v>13417.9</v>
      </c>
      <c r="G65" s="7" t="n">
        <v>45</v>
      </c>
      <c r="H65" s="7" t="n">
        <v>42</v>
      </c>
      <c r="I65" s="9" t="n">
        <f aca="false">IF($D65="Elegível",F65/E65,"")</f>
        <v>0.789288235294118</v>
      </c>
      <c r="J65" s="10" t="n">
        <f aca="false">IF($D65="Elegível",INDEX(Parâmetros!$C$5:$C$8,MATCH(I65,Parâmetros!$B$5:$B$8,1)),0)</f>
        <v>0</v>
      </c>
      <c r="K65" s="10" t="n">
        <f aca="false">IF(AND($D65="Elegível",H65&gt;=G65),Parâmetros!$C$10,0)</f>
        <v>0</v>
      </c>
      <c r="L65" s="10" t="n">
        <f aca="false">J65+K65</f>
        <v>0</v>
      </c>
      <c r="M65" s="10" t="n">
        <v>0</v>
      </c>
      <c r="N65" s="7" t="str">
        <f aca="false">IF(L65=M65,"OK","DIVERGE")</f>
        <v>OK</v>
      </c>
    </row>
    <row r="66" customFormat="false" ht="15" hidden="false" customHeight="false" outlineLevel="0" collapsed="false">
      <c r="A66" s="7" t="s">
        <v>149</v>
      </c>
      <c r="B66" s="7" t="s">
        <v>150</v>
      </c>
      <c r="C66" s="7" t="s">
        <v>51</v>
      </c>
      <c r="D66" s="7" t="s">
        <v>30</v>
      </c>
      <c r="E66" s="8" t="n">
        <v>12000</v>
      </c>
      <c r="F66" s="8" t="n">
        <v>9798.6</v>
      </c>
      <c r="G66" s="7" t="n">
        <v>35</v>
      </c>
      <c r="H66" s="7" t="n">
        <v>34</v>
      </c>
      <c r="I66" s="9" t="n">
        <f aca="false">IF($D66="Elegível",F66/E66,"")</f>
        <v>0.81655</v>
      </c>
      <c r="J66" s="10" t="n">
        <f aca="false">IF($D66="Elegível",INDEX(Parâmetros!$C$5:$C$8,MATCH(I66,Parâmetros!$B$5:$B$8,1)),0)</f>
        <v>1000</v>
      </c>
      <c r="K66" s="10" t="n">
        <f aca="false">IF(AND($D66="Elegível",H66&gt;=G66),Parâmetros!$C$10,0)</f>
        <v>0</v>
      </c>
      <c r="L66" s="10" t="n">
        <f aca="false">J66+K66</f>
        <v>1000</v>
      </c>
      <c r="M66" s="10" t="n">
        <v>1000</v>
      </c>
      <c r="N66" s="7" t="str">
        <f aca="false">IF(L66=M66,"OK","DIVERGE")</f>
        <v>OK</v>
      </c>
    </row>
    <row r="67" customFormat="false" ht="15" hidden="false" customHeight="false" outlineLevel="0" collapsed="false">
      <c r="A67" s="7" t="s">
        <v>151</v>
      </c>
      <c r="B67" s="7" t="s">
        <v>152</v>
      </c>
      <c r="C67" s="7" t="s">
        <v>33</v>
      </c>
      <c r="D67" s="7" t="s">
        <v>30</v>
      </c>
      <c r="E67" s="8" t="n">
        <v>12500</v>
      </c>
      <c r="F67" s="8" t="n">
        <v>12074.4</v>
      </c>
      <c r="G67" s="7" t="n">
        <v>45</v>
      </c>
      <c r="H67" s="7" t="n">
        <v>41</v>
      </c>
      <c r="I67" s="9" t="n">
        <f aca="false">IF($D67="Elegível",F67/E67,"")</f>
        <v>0.965952</v>
      </c>
      <c r="J67" s="10" t="n">
        <f aca="false">IF($D67="Elegível",INDEX(Parâmetros!$C$5:$C$8,MATCH(I67,Parâmetros!$B$5:$B$8,1)),0)</f>
        <v>1000</v>
      </c>
      <c r="K67" s="10" t="n">
        <f aca="false">IF(AND($D67="Elegível",H67&gt;=G67),Parâmetros!$C$10,0)</f>
        <v>0</v>
      </c>
      <c r="L67" s="10" t="n">
        <f aca="false">J67+K67</f>
        <v>1000</v>
      </c>
      <c r="M67" s="10" t="n">
        <v>1000</v>
      </c>
      <c r="N67" s="7" t="str">
        <f aca="false">IF(L67=M67,"OK","DIVERGE")</f>
        <v>OK</v>
      </c>
    </row>
    <row r="68" customFormat="false" ht="15" hidden="false" customHeight="false" outlineLevel="0" collapsed="false">
      <c r="A68" s="7" t="s">
        <v>153</v>
      </c>
      <c r="B68" s="7" t="s">
        <v>154</v>
      </c>
      <c r="C68" s="7" t="s">
        <v>33</v>
      </c>
      <c r="D68" s="7" t="s">
        <v>30</v>
      </c>
      <c r="E68" s="8" t="n">
        <v>3300</v>
      </c>
      <c r="F68" s="8" t="n">
        <v>3773.7</v>
      </c>
      <c r="G68" s="7" t="n">
        <v>30</v>
      </c>
      <c r="H68" s="7" t="n">
        <v>26</v>
      </c>
      <c r="I68" s="9" t="n">
        <f aca="false">IF($D68="Elegível",F68/E68,"")</f>
        <v>1.14354545454545</v>
      </c>
      <c r="J68" s="10" t="n">
        <f aca="false">IF($D68="Elegível",INDEX(Parâmetros!$C$5:$C$8,MATCH(I68,Parâmetros!$B$5:$B$8,1)),0)</f>
        <v>2500</v>
      </c>
      <c r="K68" s="10" t="n">
        <f aca="false">IF(AND($D68="Elegível",H68&gt;=G68),Parâmetros!$C$10,0)</f>
        <v>0</v>
      </c>
      <c r="L68" s="10" t="n">
        <f aca="false">J68+K68</f>
        <v>2500</v>
      </c>
      <c r="M68" s="10" t="n">
        <v>2500</v>
      </c>
      <c r="N68" s="7" t="str">
        <f aca="false">IF(L68=M68,"OK","DIVERGE")</f>
        <v>OK</v>
      </c>
    </row>
    <row r="69" customFormat="false" ht="15" hidden="false" customHeight="false" outlineLevel="0" collapsed="false">
      <c r="A69" s="7" t="s">
        <v>155</v>
      </c>
      <c r="B69" s="7" t="s">
        <v>156</v>
      </c>
      <c r="C69" s="7" t="s">
        <v>33</v>
      </c>
      <c r="D69" s="7" t="s">
        <v>30</v>
      </c>
      <c r="E69" s="8" t="n">
        <v>10300</v>
      </c>
      <c r="F69" s="8" t="n">
        <v>9787.5</v>
      </c>
      <c r="G69" s="7" t="n">
        <v>40</v>
      </c>
      <c r="H69" s="7" t="n">
        <v>43</v>
      </c>
      <c r="I69" s="9" t="n">
        <f aca="false">IF($D69="Elegível",F69/E69,"")</f>
        <v>0.950242718446602</v>
      </c>
      <c r="J69" s="10" t="n">
        <f aca="false">IF($D69="Elegível",INDEX(Parâmetros!$C$5:$C$8,MATCH(I69,Parâmetros!$B$5:$B$8,1)),0)</f>
        <v>1000</v>
      </c>
      <c r="K69" s="10" t="n">
        <f aca="false">IF(AND($D69="Elegível",H69&gt;=G69),Parâmetros!$C$10,0)</f>
        <v>1500</v>
      </c>
      <c r="L69" s="10" t="n">
        <f aca="false">J69+K69</f>
        <v>2500</v>
      </c>
      <c r="M69" s="10" t="n">
        <v>2500</v>
      </c>
      <c r="N69" s="7" t="str">
        <f aca="false">IF(L69=M69,"OK","DIVERGE")</f>
        <v>OK</v>
      </c>
    </row>
    <row r="70" customFormat="false" ht="15" hidden="false" customHeight="false" outlineLevel="0" collapsed="false">
      <c r="A70" s="7" t="s">
        <v>157</v>
      </c>
      <c r="B70" s="7" t="s">
        <v>158</v>
      </c>
      <c r="C70" s="7" t="s">
        <v>51</v>
      </c>
      <c r="D70" s="7" t="s">
        <v>30</v>
      </c>
      <c r="E70" s="8" t="n">
        <v>9900</v>
      </c>
      <c r="F70" s="8" t="n">
        <v>12038.9</v>
      </c>
      <c r="G70" s="7" t="n">
        <v>35</v>
      </c>
      <c r="H70" s="7" t="n">
        <v>40</v>
      </c>
      <c r="I70" s="9" t="n">
        <f aca="false">IF($D70="Elegível",F70/E70,"")</f>
        <v>1.21605050505051</v>
      </c>
      <c r="J70" s="10" t="n">
        <f aca="false">IF($D70="Elegível",INDEX(Parâmetros!$C$5:$C$8,MATCH(I70,Parâmetros!$B$5:$B$8,1)),0)</f>
        <v>4000</v>
      </c>
      <c r="K70" s="10" t="n">
        <f aca="false">IF(AND($D70="Elegível",H70&gt;=G70),Parâmetros!$C$10,0)</f>
        <v>1500</v>
      </c>
      <c r="L70" s="10" t="n">
        <f aca="false">J70+K70</f>
        <v>5500</v>
      </c>
      <c r="M70" s="10" t="n">
        <v>5500</v>
      </c>
      <c r="N70" s="7" t="str">
        <f aca="false">IF(L70=M70,"OK","DIVERGE")</f>
        <v>OK</v>
      </c>
    </row>
    <row r="71" customFormat="false" ht="15" hidden="false" customHeight="false" outlineLevel="0" collapsed="false">
      <c r="A71" s="7" t="s">
        <v>159</v>
      </c>
      <c r="B71" s="7" t="s">
        <v>160</v>
      </c>
      <c r="C71" s="7" t="s">
        <v>51</v>
      </c>
      <c r="D71" s="7" t="s">
        <v>30</v>
      </c>
      <c r="E71" s="8" t="n">
        <v>7800</v>
      </c>
      <c r="F71" s="8" t="n">
        <v>7715.5</v>
      </c>
      <c r="G71" s="7" t="n">
        <v>40</v>
      </c>
      <c r="H71" s="7" t="n">
        <v>37</v>
      </c>
      <c r="I71" s="9" t="n">
        <f aca="false">IF($D71="Elegível",F71/E71,"")</f>
        <v>0.989166666666667</v>
      </c>
      <c r="J71" s="10" t="n">
        <f aca="false">IF($D71="Elegível",INDEX(Parâmetros!$C$5:$C$8,MATCH(I71,Parâmetros!$B$5:$B$8,1)),0)</f>
        <v>1000</v>
      </c>
      <c r="K71" s="10" t="n">
        <f aca="false">IF(AND($D71="Elegível",H71&gt;=G71),Parâmetros!$C$10,0)</f>
        <v>0</v>
      </c>
      <c r="L71" s="10" t="n">
        <f aca="false">J71+K71</f>
        <v>1000</v>
      </c>
      <c r="M71" s="10" t="n">
        <v>1000</v>
      </c>
      <c r="N71" s="7" t="str">
        <f aca="false">IF(L71=M71,"OK","DIVERGE")</f>
        <v>OK</v>
      </c>
    </row>
    <row r="72" customFormat="false" ht="15" hidden="false" customHeight="false" outlineLevel="0" collapsed="false">
      <c r="A72" s="7" t="s">
        <v>161</v>
      </c>
      <c r="B72" s="7" t="s">
        <v>162</v>
      </c>
      <c r="C72" s="7" t="s">
        <v>51</v>
      </c>
      <c r="D72" s="7" t="s">
        <v>30</v>
      </c>
      <c r="E72" s="8" t="n">
        <v>3000</v>
      </c>
      <c r="F72" s="8" t="n">
        <v>3658.6</v>
      </c>
      <c r="G72" s="7" t="n">
        <v>25</v>
      </c>
      <c r="H72" s="7" t="n">
        <v>21</v>
      </c>
      <c r="I72" s="9" t="n">
        <f aca="false">IF($D72="Elegível",F72/E72,"")</f>
        <v>1.21953333333333</v>
      </c>
      <c r="J72" s="10" t="n">
        <f aca="false">IF($D72="Elegível",INDEX(Parâmetros!$C$5:$C$8,MATCH(I72,Parâmetros!$B$5:$B$8,1)),0)</f>
        <v>4000</v>
      </c>
      <c r="K72" s="10" t="n">
        <f aca="false">IF(AND($D72="Elegível",H72&gt;=G72),Parâmetros!$C$10,0)</f>
        <v>0</v>
      </c>
      <c r="L72" s="10" t="n">
        <f aca="false">J72+K72</f>
        <v>4000</v>
      </c>
      <c r="M72" s="10" t="n">
        <v>4000</v>
      </c>
      <c r="N72" s="7" t="str">
        <f aca="false">IF(L72=M72,"OK","DIVERGE")</f>
        <v>OK</v>
      </c>
    </row>
    <row r="73" customFormat="false" ht="15" hidden="false" customHeight="false" outlineLevel="0" collapsed="false">
      <c r="A73" s="7" t="s">
        <v>163</v>
      </c>
      <c r="B73" s="7" t="s">
        <v>164</v>
      </c>
      <c r="C73" s="7" t="s">
        <v>29</v>
      </c>
      <c r="D73" s="7" t="s">
        <v>30</v>
      </c>
      <c r="E73" s="8" t="n">
        <v>7400</v>
      </c>
      <c r="F73" s="8" t="n">
        <v>8366.1</v>
      </c>
      <c r="G73" s="7" t="n">
        <v>35</v>
      </c>
      <c r="H73" s="7" t="n">
        <v>35</v>
      </c>
      <c r="I73" s="9" t="n">
        <f aca="false">IF($D73="Elegível",F73/E73,"")</f>
        <v>1.13055405405405</v>
      </c>
      <c r="J73" s="10" t="n">
        <f aca="false">IF($D73="Elegível",INDEX(Parâmetros!$C$5:$C$8,MATCH(I73,Parâmetros!$B$5:$B$8,1)),0)</f>
        <v>2500</v>
      </c>
      <c r="K73" s="10" t="n">
        <f aca="false">IF(AND($D73="Elegível",H73&gt;=G73),Parâmetros!$C$10,0)</f>
        <v>1500</v>
      </c>
      <c r="L73" s="10" t="n">
        <f aca="false">J73+K73</f>
        <v>4000</v>
      </c>
      <c r="M73" s="10" t="n">
        <v>4000</v>
      </c>
      <c r="N73" s="7" t="str">
        <f aca="false">IF(L73=M73,"OK","DIVERGE")</f>
        <v>OK</v>
      </c>
    </row>
    <row r="74" customFormat="false" ht="15" hidden="false" customHeight="false" outlineLevel="0" collapsed="false">
      <c r="A74" s="7" t="s">
        <v>165</v>
      </c>
      <c r="B74" s="7" t="s">
        <v>166</v>
      </c>
      <c r="C74" s="7" t="s">
        <v>40</v>
      </c>
      <c r="D74" s="7" t="s">
        <v>30</v>
      </c>
      <c r="E74" s="8" t="n">
        <v>5600</v>
      </c>
      <c r="F74" s="8" t="n">
        <v>5491.2</v>
      </c>
      <c r="G74" s="7" t="n">
        <v>35</v>
      </c>
      <c r="H74" s="7" t="n">
        <v>32</v>
      </c>
      <c r="I74" s="9" t="n">
        <f aca="false">IF($D74="Elegível",F74/E74,"")</f>
        <v>0.980571428571429</v>
      </c>
      <c r="J74" s="10" t="n">
        <f aca="false">IF($D74="Elegível",INDEX(Parâmetros!$C$5:$C$8,MATCH(I74,Parâmetros!$B$5:$B$8,1)),0)</f>
        <v>1000</v>
      </c>
      <c r="K74" s="10" t="n">
        <f aca="false">IF(AND($D74="Elegível",H74&gt;=G74),Parâmetros!$C$10,0)</f>
        <v>0</v>
      </c>
      <c r="L74" s="10" t="n">
        <f aca="false">J74+K74</f>
        <v>1000</v>
      </c>
      <c r="M74" s="10" t="n">
        <v>1000</v>
      </c>
      <c r="N74" s="7" t="str">
        <f aca="false">IF(L74=M74,"OK","DIVERGE")</f>
        <v>OK</v>
      </c>
    </row>
    <row r="75" customFormat="false" ht="15" hidden="false" customHeight="false" outlineLevel="0" collapsed="false">
      <c r="A75" s="7" t="s">
        <v>167</v>
      </c>
      <c r="B75" s="7" t="s">
        <v>168</v>
      </c>
      <c r="C75" s="7" t="s">
        <v>51</v>
      </c>
      <c r="D75" s="7" t="s">
        <v>34</v>
      </c>
      <c r="E75" s="8" t="n">
        <v>12100</v>
      </c>
      <c r="F75" s="8" t="n">
        <v>10645.3</v>
      </c>
      <c r="G75" s="7" t="n">
        <v>40</v>
      </c>
      <c r="H75" s="7" t="n">
        <v>41</v>
      </c>
      <c r="I75" s="9" t="str">
        <f aca="false">IF($D75="Elegível",F75/E75,"")</f>
        <v/>
      </c>
      <c r="J75" s="10" t="n">
        <f aca="false">IF($D75="Elegível",INDEX(Parâmetros!$C$5:$C$8,MATCH(I75,Parâmetros!$B$5:$B$8,1)),0)</f>
        <v>0</v>
      </c>
      <c r="K75" s="10" t="n">
        <f aca="false">IF(AND($D75="Elegível",H75&gt;=G75),Parâmetros!$C$10,0)</f>
        <v>0</v>
      </c>
      <c r="L75" s="10" t="n">
        <f aca="false">J75+K75</f>
        <v>0</v>
      </c>
      <c r="M75" s="10" t="n">
        <v>0</v>
      </c>
      <c r="N75" s="7" t="str">
        <f aca="false">IF(L75=M75,"OK","DIVERGE")</f>
        <v>OK</v>
      </c>
    </row>
    <row r="76" customFormat="false" ht="15" hidden="false" customHeight="false" outlineLevel="0" collapsed="false">
      <c r="A76" s="7" t="s">
        <v>169</v>
      </c>
      <c r="B76" s="7" t="s">
        <v>170</v>
      </c>
      <c r="C76" s="7" t="s">
        <v>29</v>
      </c>
      <c r="D76" s="7" t="s">
        <v>30</v>
      </c>
      <c r="E76" s="8" t="n">
        <v>9700</v>
      </c>
      <c r="F76" s="8" t="n">
        <v>8187.2</v>
      </c>
      <c r="G76" s="7" t="n">
        <v>45</v>
      </c>
      <c r="H76" s="7" t="n">
        <v>40</v>
      </c>
      <c r="I76" s="9" t="n">
        <f aca="false">IF($D76="Elegível",F76/E76,"")</f>
        <v>0.844041237113402</v>
      </c>
      <c r="J76" s="10" t="n">
        <f aca="false">IF($D76="Elegível",INDEX(Parâmetros!$C$5:$C$8,MATCH(I76,Parâmetros!$B$5:$B$8,1)),0)</f>
        <v>1000</v>
      </c>
      <c r="K76" s="10" t="n">
        <f aca="false">IF(AND($D76="Elegível",H76&gt;=G76),Parâmetros!$C$10,0)</f>
        <v>0</v>
      </c>
      <c r="L76" s="10" t="n">
        <f aca="false">J76+K76</f>
        <v>1000</v>
      </c>
      <c r="M76" s="10" t="n">
        <v>1000</v>
      </c>
      <c r="N76" s="7" t="str">
        <f aca="false">IF(L76=M76,"OK","DIVERGE")</f>
        <v>OK</v>
      </c>
    </row>
    <row r="77" customFormat="false" ht="15" hidden="false" customHeight="false" outlineLevel="0" collapsed="false">
      <c r="A77" s="7" t="s">
        <v>171</v>
      </c>
      <c r="B77" s="7" t="s">
        <v>172</v>
      </c>
      <c r="C77" s="7" t="s">
        <v>40</v>
      </c>
      <c r="D77" s="7" t="s">
        <v>30</v>
      </c>
      <c r="E77" s="8" t="n">
        <v>6100</v>
      </c>
      <c r="F77" s="8" t="n">
        <v>5355.4</v>
      </c>
      <c r="G77" s="7" t="n">
        <v>35</v>
      </c>
      <c r="H77" s="7" t="n">
        <v>33</v>
      </c>
      <c r="I77" s="9" t="n">
        <f aca="false">IF($D77="Elegível",F77/E77,"")</f>
        <v>0.877934426229508</v>
      </c>
      <c r="J77" s="10" t="n">
        <f aca="false">IF($D77="Elegível",INDEX(Parâmetros!$C$5:$C$8,MATCH(I77,Parâmetros!$B$5:$B$8,1)),0)</f>
        <v>1000</v>
      </c>
      <c r="K77" s="10" t="n">
        <f aca="false">IF(AND($D77="Elegível",H77&gt;=G77),Parâmetros!$C$10,0)</f>
        <v>0</v>
      </c>
      <c r="L77" s="10" t="n">
        <f aca="false">J77+K77</f>
        <v>1000</v>
      </c>
      <c r="M77" s="10" t="n">
        <v>1000</v>
      </c>
      <c r="N77" s="7" t="str">
        <f aca="false">IF(L77=M77,"OK","DIVERGE")</f>
        <v>OK</v>
      </c>
    </row>
    <row r="78" customFormat="false" ht="15" hidden="false" customHeight="false" outlineLevel="0" collapsed="false">
      <c r="A78" s="7" t="s">
        <v>173</v>
      </c>
      <c r="B78" s="7" t="s">
        <v>174</v>
      </c>
      <c r="C78" s="7" t="s">
        <v>51</v>
      </c>
      <c r="D78" s="7" t="s">
        <v>34</v>
      </c>
      <c r="E78" s="8" t="n">
        <v>11100</v>
      </c>
      <c r="F78" s="8" t="n">
        <v>11908.4</v>
      </c>
      <c r="G78" s="7" t="n">
        <v>45</v>
      </c>
      <c r="H78" s="7" t="n">
        <v>42</v>
      </c>
      <c r="I78" s="9" t="str">
        <f aca="false">IF($D78="Elegível",F78/E78,"")</f>
        <v/>
      </c>
      <c r="J78" s="10" t="n">
        <f aca="false">IF($D78="Elegível",INDEX(Parâmetros!$C$5:$C$8,MATCH(I78,Parâmetros!$B$5:$B$8,1)),0)</f>
        <v>0</v>
      </c>
      <c r="K78" s="10" t="n">
        <f aca="false">IF(AND($D78="Elegível",H78&gt;=G78),Parâmetros!$C$10,0)</f>
        <v>0</v>
      </c>
      <c r="L78" s="10" t="n">
        <f aca="false">J78+K78</f>
        <v>0</v>
      </c>
      <c r="M78" s="10" t="n">
        <v>0</v>
      </c>
      <c r="N78" s="7" t="str">
        <f aca="false">IF(L78=M78,"OK","DIVERGE")</f>
        <v>OK</v>
      </c>
    </row>
    <row r="79" customFormat="false" ht="15" hidden="false" customHeight="false" outlineLevel="0" collapsed="false">
      <c r="A79" s="7" t="s">
        <v>175</v>
      </c>
      <c r="B79" s="7" t="s">
        <v>176</v>
      </c>
      <c r="C79" s="7" t="s">
        <v>29</v>
      </c>
      <c r="D79" s="7" t="s">
        <v>30</v>
      </c>
      <c r="E79" s="8" t="n">
        <v>9200</v>
      </c>
      <c r="F79" s="8" t="n">
        <v>7343.1</v>
      </c>
      <c r="G79" s="7" t="n">
        <v>40</v>
      </c>
      <c r="H79" s="7" t="n">
        <v>38</v>
      </c>
      <c r="I79" s="9" t="n">
        <f aca="false">IF($D79="Elegível",F79/E79,"")</f>
        <v>0.798163043478261</v>
      </c>
      <c r="J79" s="10" t="n">
        <f aca="false">IF($D79="Elegível",INDEX(Parâmetros!$C$5:$C$8,MATCH(I79,Parâmetros!$B$5:$B$8,1)),0)</f>
        <v>0</v>
      </c>
      <c r="K79" s="10" t="n">
        <f aca="false">IF(AND($D79="Elegível",H79&gt;=G79),Parâmetros!$C$10,0)</f>
        <v>0</v>
      </c>
      <c r="L79" s="10" t="n">
        <f aca="false">J79+K79</f>
        <v>0</v>
      </c>
      <c r="M79" s="10" t="n">
        <v>0</v>
      </c>
      <c r="N79" s="7" t="str">
        <f aca="false">IF(L79=M79,"OK","DIVERGE")</f>
        <v>OK</v>
      </c>
    </row>
    <row r="80" customFormat="false" ht="15" hidden="false" customHeight="false" outlineLevel="0" collapsed="false">
      <c r="A80" s="7" t="s">
        <v>177</v>
      </c>
      <c r="B80" s="7" t="s">
        <v>127</v>
      </c>
      <c r="C80" s="7" t="s">
        <v>37</v>
      </c>
      <c r="D80" s="7" t="s">
        <v>30</v>
      </c>
      <c r="E80" s="8" t="n">
        <v>4100</v>
      </c>
      <c r="F80" s="8" t="n">
        <v>4699.8</v>
      </c>
      <c r="G80" s="7" t="n">
        <v>30</v>
      </c>
      <c r="H80" s="7" t="n">
        <v>29</v>
      </c>
      <c r="I80" s="9" t="n">
        <f aca="false">IF($D80="Elegível",F80/E80,"")</f>
        <v>1.14629268292683</v>
      </c>
      <c r="J80" s="10" t="n">
        <f aca="false">IF($D80="Elegível",INDEX(Parâmetros!$C$5:$C$8,MATCH(I80,Parâmetros!$B$5:$B$8,1)),0)</f>
        <v>2500</v>
      </c>
      <c r="K80" s="10" t="n">
        <f aca="false">IF(AND($D80="Elegível",H80&gt;=G80),Parâmetros!$C$10,0)</f>
        <v>0</v>
      </c>
      <c r="L80" s="10" t="n">
        <f aca="false">J80+K80</f>
        <v>2500</v>
      </c>
      <c r="M80" s="10" t="n">
        <v>2500</v>
      </c>
      <c r="N80" s="7" t="str">
        <f aca="false">IF(L80=M80,"OK","DIVERGE")</f>
        <v>OK</v>
      </c>
    </row>
    <row r="81" customFormat="false" ht="15" hidden="false" customHeight="false" outlineLevel="0" collapsed="false">
      <c r="A81" s="7" t="s">
        <v>178</v>
      </c>
      <c r="B81" s="7" t="s">
        <v>179</v>
      </c>
      <c r="C81" s="7" t="s">
        <v>37</v>
      </c>
      <c r="D81" s="7" t="s">
        <v>30</v>
      </c>
      <c r="E81" s="8" t="n">
        <v>8200</v>
      </c>
      <c r="F81" s="8" t="n">
        <v>8905.3</v>
      </c>
      <c r="G81" s="7" t="n">
        <v>35</v>
      </c>
      <c r="H81" s="7" t="n">
        <v>37</v>
      </c>
      <c r="I81" s="9" t="n">
        <f aca="false">IF($D81="Elegível",F81/E81,"")</f>
        <v>1.08601219512195</v>
      </c>
      <c r="J81" s="10" t="n">
        <f aca="false">IF($D81="Elegível",INDEX(Parâmetros!$C$5:$C$8,MATCH(I81,Parâmetros!$B$5:$B$8,1)),0)</f>
        <v>2500</v>
      </c>
      <c r="K81" s="10" t="n">
        <f aca="false">IF(AND($D81="Elegível",H81&gt;=G81),Parâmetros!$C$10,0)</f>
        <v>1500</v>
      </c>
      <c r="L81" s="10" t="n">
        <f aca="false">J81+K81</f>
        <v>4000</v>
      </c>
      <c r="M81" s="10" t="n">
        <v>4000</v>
      </c>
      <c r="N81" s="7" t="str">
        <f aca="false">IF(L81=M81,"OK","DIVERGE")</f>
        <v>OK</v>
      </c>
    </row>
    <row r="82" customFormat="false" ht="15" hidden="false" customHeight="false" outlineLevel="0" collapsed="false">
      <c r="A82" s="7" t="s">
        <v>180</v>
      </c>
      <c r="B82" s="7" t="s">
        <v>80</v>
      </c>
      <c r="C82" s="7" t="s">
        <v>29</v>
      </c>
      <c r="D82" s="7" t="s">
        <v>30</v>
      </c>
      <c r="E82" s="8" t="n">
        <v>5800</v>
      </c>
      <c r="F82" s="8" t="n">
        <v>4501.2</v>
      </c>
      <c r="G82" s="7" t="n">
        <v>30</v>
      </c>
      <c r="H82" s="7" t="n">
        <v>31</v>
      </c>
      <c r="I82" s="9" t="n">
        <f aca="false">IF($D82="Elegível",F82/E82,"")</f>
        <v>0.776068965517241</v>
      </c>
      <c r="J82" s="10" t="n">
        <f aca="false">IF($D82="Elegível",INDEX(Parâmetros!$C$5:$C$8,MATCH(I82,Parâmetros!$B$5:$B$8,1)),0)</f>
        <v>0</v>
      </c>
      <c r="K82" s="10" t="n">
        <f aca="false">IF(AND($D82="Elegível",H82&gt;=G82),Parâmetros!$C$10,0)</f>
        <v>1500</v>
      </c>
      <c r="L82" s="10" t="n">
        <f aca="false">J82+K82</f>
        <v>1500</v>
      </c>
      <c r="M82" s="10" t="n">
        <v>1500</v>
      </c>
      <c r="N82" s="7" t="str">
        <f aca="false">IF(L82=M82,"OK","DIVERGE")</f>
        <v>OK</v>
      </c>
    </row>
    <row r="83" customFormat="false" ht="15" hidden="false" customHeight="false" outlineLevel="0" collapsed="false">
      <c r="A83" s="7" t="s">
        <v>181</v>
      </c>
      <c r="B83" s="7" t="s">
        <v>182</v>
      </c>
      <c r="C83" s="7" t="s">
        <v>29</v>
      </c>
      <c r="D83" s="7" t="s">
        <v>30</v>
      </c>
      <c r="E83" s="8" t="n">
        <v>2000</v>
      </c>
      <c r="F83" s="8" t="n">
        <v>2470.6</v>
      </c>
      <c r="G83" s="7" t="n">
        <v>20</v>
      </c>
      <c r="H83" s="7" t="n">
        <v>20</v>
      </c>
      <c r="I83" s="9" t="n">
        <f aca="false">IF($D83="Elegível",F83/E83,"")</f>
        <v>1.2353</v>
      </c>
      <c r="J83" s="10" t="n">
        <f aca="false">IF($D83="Elegível",INDEX(Parâmetros!$C$5:$C$8,MATCH(I83,Parâmetros!$B$5:$B$8,1)),0)</f>
        <v>4000</v>
      </c>
      <c r="K83" s="10" t="n">
        <f aca="false">IF(AND($D83="Elegível",H83&gt;=G83),Parâmetros!$C$10,0)</f>
        <v>1500</v>
      </c>
      <c r="L83" s="10" t="n">
        <f aca="false">J83+K83</f>
        <v>5500</v>
      </c>
      <c r="M83" s="10" t="n">
        <v>5500</v>
      </c>
      <c r="N83" s="7" t="str">
        <f aca="false">IF(L83=M83,"OK","DIVERGE")</f>
        <v>OK</v>
      </c>
    </row>
    <row r="84" customFormat="false" ht="15" hidden="false" customHeight="false" outlineLevel="0" collapsed="false">
      <c r="A84" s="7" t="s">
        <v>183</v>
      </c>
      <c r="B84" s="7" t="s">
        <v>184</v>
      </c>
      <c r="C84" s="7" t="s">
        <v>40</v>
      </c>
      <c r="D84" s="7" t="s">
        <v>30</v>
      </c>
      <c r="E84" s="8" t="n">
        <v>4200</v>
      </c>
      <c r="F84" s="8" t="n">
        <v>4904.3</v>
      </c>
      <c r="G84" s="7" t="n">
        <v>30</v>
      </c>
      <c r="H84" s="7" t="n">
        <v>31</v>
      </c>
      <c r="I84" s="9" t="n">
        <f aca="false">IF($D84="Elegível",F84/E84,"")</f>
        <v>1.16769047619048</v>
      </c>
      <c r="J84" s="10" t="n">
        <f aca="false">IF($D84="Elegível",INDEX(Parâmetros!$C$5:$C$8,MATCH(I84,Parâmetros!$B$5:$B$8,1)),0)</f>
        <v>2500</v>
      </c>
      <c r="K84" s="10" t="n">
        <f aca="false">IF(AND($D84="Elegível",H84&gt;=G84),Parâmetros!$C$10,0)</f>
        <v>1500</v>
      </c>
      <c r="L84" s="10" t="n">
        <f aca="false">J84+K84</f>
        <v>4000</v>
      </c>
      <c r="M84" s="10" t="n">
        <v>4000</v>
      </c>
      <c r="N84" s="7" t="str">
        <f aca="false">IF(L84=M84,"OK","DIVERGE")</f>
        <v>OK</v>
      </c>
    </row>
    <row r="85" customFormat="false" ht="15" hidden="false" customHeight="false" outlineLevel="0" collapsed="false">
      <c r="A85" s="7" t="s">
        <v>185</v>
      </c>
      <c r="B85" s="7" t="s">
        <v>184</v>
      </c>
      <c r="C85" s="7" t="s">
        <v>51</v>
      </c>
      <c r="D85" s="7" t="s">
        <v>30</v>
      </c>
      <c r="E85" s="8" t="n">
        <v>14600</v>
      </c>
      <c r="F85" s="8" t="n">
        <v>12658.8</v>
      </c>
      <c r="G85" s="7" t="n">
        <v>45</v>
      </c>
      <c r="H85" s="7" t="n">
        <v>42</v>
      </c>
      <c r="I85" s="9" t="n">
        <f aca="false">IF($D85="Elegível",F85/E85,"")</f>
        <v>0.867041095890411</v>
      </c>
      <c r="J85" s="10" t="n">
        <f aca="false">IF($D85="Elegível",INDEX(Parâmetros!$C$5:$C$8,MATCH(I85,Parâmetros!$B$5:$B$8,1)),0)</f>
        <v>1000</v>
      </c>
      <c r="K85" s="10" t="n">
        <f aca="false">IF(AND($D85="Elegível",H85&gt;=G85),Parâmetros!$C$10,0)</f>
        <v>0</v>
      </c>
      <c r="L85" s="10" t="n">
        <f aca="false">J85+K85</f>
        <v>1000</v>
      </c>
      <c r="M85" s="10" t="n">
        <v>1000</v>
      </c>
      <c r="N85" s="7" t="str">
        <f aca="false">IF(L85=M85,"OK","DIVERGE")</f>
        <v>OK</v>
      </c>
    </row>
    <row r="86" customFormat="false" ht="15" hidden="false" customHeight="false" outlineLevel="0" collapsed="false">
      <c r="A86" s="7" t="s">
        <v>186</v>
      </c>
      <c r="B86" s="7" t="s">
        <v>187</v>
      </c>
      <c r="C86" s="7" t="s">
        <v>37</v>
      </c>
      <c r="D86" s="7" t="s">
        <v>30</v>
      </c>
      <c r="E86" s="8" t="n">
        <v>5300</v>
      </c>
      <c r="F86" s="8" t="n">
        <v>4341.9</v>
      </c>
      <c r="G86" s="7" t="n">
        <v>35</v>
      </c>
      <c r="H86" s="7" t="n">
        <v>29</v>
      </c>
      <c r="I86" s="9" t="n">
        <f aca="false">IF($D86="Elegível",F86/E86,"")</f>
        <v>0.81922641509434</v>
      </c>
      <c r="J86" s="10" t="n">
        <f aca="false">IF($D86="Elegível",INDEX(Parâmetros!$C$5:$C$8,MATCH(I86,Parâmetros!$B$5:$B$8,1)),0)</f>
        <v>1000</v>
      </c>
      <c r="K86" s="10" t="n">
        <f aca="false">IF(AND($D86="Elegível",H86&gt;=G86),Parâmetros!$C$10,0)</f>
        <v>0</v>
      </c>
      <c r="L86" s="10" t="n">
        <f aca="false">J86+K86</f>
        <v>1000</v>
      </c>
      <c r="M86" s="10" t="n">
        <v>1000</v>
      </c>
      <c r="N86" s="7" t="str">
        <f aca="false">IF(L86=M86,"OK","DIVERGE")</f>
        <v>OK</v>
      </c>
    </row>
    <row r="87" customFormat="false" ht="15" hidden="false" customHeight="false" outlineLevel="0" collapsed="false">
      <c r="A87" s="7" t="s">
        <v>188</v>
      </c>
      <c r="B87" s="7" t="s">
        <v>189</v>
      </c>
      <c r="C87" s="7" t="s">
        <v>51</v>
      </c>
      <c r="D87" s="7" t="s">
        <v>30</v>
      </c>
      <c r="E87" s="8" t="n">
        <v>3500</v>
      </c>
      <c r="F87" s="8" t="n">
        <v>4262.9</v>
      </c>
      <c r="G87" s="7" t="n">
        <v>30</v>
      </c>
      <c r="H87" s="7" t="n">
        <v>29</v>
      </c>
      <c r="I87" s="9" t="n">
        <f aca="false">IF($D87="Elegível",F87/E87,"")</f>
        <v>1.21797142857143</v>
      </c>
      <c r="J87" s="10" t="n">
        <f aca="false">IF($D87="Elegível",INDEX(Parâmetros!$C$5:$C$8,MATCH(I87,Parâmetros!$B$5:$B$8,1)),0)</f>
        <v>4000</v>
      </c>
      <c r="K87" s="10" t="n">
        <f aca="false">IF(AND($D87="Elegível",H87&gt;=G87),Parâmetros!$C$10,0)</f>
        <v>0</v>
      </c>
      <c r="L87" s="10" t="n">
        <f aca="false">J87+K87</f>
        <v>4000</v>
      </c>
      <c r="M87" s="10" t="n">
        <v>4000</v>
      </c>
      <c r="N87" s="7" t="str">
        <f aca="false">IF(L87=M87,"OK","DIVERGE")</f>
        <v>OK</v>
      </c>
    </row>
    <row r="88" customFormat="false" ht="15" hidden="false" customHeight="false" outlineLevel="0" collapsed="false">
      <c r="A88" s="7" t="s">
        <v>190</v>
      </c>
      <c r="B88" s="7" t="s">
        <v>191</v>
      </c>
      <c r="C88" s="7" t="s">
        <v>40</v>
      </c>
      <c r="D88" s="7" t="s">
        <v>30</v>
      </c>
      <c r="E88" s="8" t="n">
        <v>9100</v>
      </c>
      <c r="F88" s="8" t="n">
        <v>8602</v>
      </c>
      <c r="G88" s="7" t="n">
        <v>45</v>
      </c>
      <c r="H88" s="7" t="n">
        <v>40</v>
      </c>
      <c r="I88" s="9" t="n">
        <f aca="false">IF($D88="Elegível",F88/E88,"")</f>
        <v>0.945274725274725</v>
      </c>
      <c r="J88" s="10" t="n">
        <f aca="false">IF($D88="Elegível",INDEX(Parâmetros!$C$5:$C$8,MATCH(I88,Parâmetros!$B$5:$B$8,1)),0)</f>
        <v>1000</v>
      </c>
      <c r="K88" s="10" t="n">
        <f aca="false">IF(AND($D88="Elegível",H88&gt;=G88),Parâmetros!$C$10,0)</f>
        <v>0</v>
      </c>
      <c r="L88" s="10" t="n">
        <f aca="false">J88+K88</f>
        <v>1000</v>
      </c>
      <c r="M88" s="10" t="n">
        <v>1000</v>
      </c>
      <c r="N88" s="7" t="str">
        <f aca="false">IF(L88=M88,"OK","DIVERGE")</f>
        <v>OK</v>
      </c>
    </row>
    <row r="89" customFormat="false" ht="15" hidden="false" customHeight="false" outlineLevel="0" collapsed="false">
      <c r="A89" s="7" t="s">
        <v>192</v>
      </c>
      <c r="B89" s="7" t="s">
        <v>103</v>
      </c>
      <c r="C89" s="7" t="s">
        <v>51</v>
      </c>
      <c r="D89" s="7" t="s">
        <v>30</v>
      </c>
      <c r="E89" s="8" t="n">
        <v>6200</v>
      </c>
      <c r="F89" s="8" t="n">
        <v>5907.8</v>
      </c>
      <c r="G89" s="7" t="n">
        <v>35</v>
      </c>
      <c r="H89" s="7" t="n">
        <v>34</v>
      </c>
      <c r="I89" s="9" t="n">
        <f aca="false">IF($D89="Elegível",F89/E89,"")</f>
        <v>0.952870967741936</v>
      </c>
      <c r="J89" s="10" t="n">
        <f aca="false">IF($D89="Elegível",INDEX(Parâmetros!$C$5:$C$8,MATCH(I89,Parâmetros!$B$5:$B$8,1)),0)</f>
        <v>1000</v>
      </c>
      <c r="K89" s="10" t="n">
        <f aca="false">IF(AND($D89="Elegível",H89&gt;=G89),Parâmetros!$C$10,0)</f>
        <v>0</v>
      </c>
      <c r="L89" s="10" t="n">
        <f aca="false">J89+K89</f>
        <v>1000</v>
      </c>
      <c r="M89" s="10" t="n">
        <v>1000</v>
      </c>
      <c r="N89" s="7" t="str">
        <f aca="false">IF(L89=M89,"OK","DIVERGE")</f>
        <v>OK</v>
      </c>
    </row>
    <row r="90" customFormat="false" ht="15" hidden="false" customHeight="false" outlineLevel="0" collapsed="false">
      <c r="A90" s="7" t="s">
        <v>193</v>
      </c>
      <c r="B90" s="7" t="s">
        <v>134</v>
      </c>
      <c r="C90" s="7" t="s">
        <v>29</v>
      </c>
      <c r="D90" s="7" t="s">
        <v>30</v>
      </c>
      <c r="E90" s="8" t="n">
        <v>7700</v>
      </c>
      <c r="F90" s="8" t="n">
        <v>7336.1</v>
      </c>
      <c r="G90" s="7" t="n">
        <v>40</v>
      </c>
      <c r="H90" s="7" t="n">
        <v>34</v>
      </c>
      <c r="I90" s="9" t="n">
        <f aca="false">IF($D90="Elegível",F90/E90,"")</f>
        <v>0.95274025974026</v>
      </c>
      <c r="J90" s="10" t="n">
        <f aca="false">IF($D90="Elegível",INDEX(Parâmetros!$C$5:$C$8,MATCH(I90,Parâmetros!$B$5:$B$8,1)),0)</f>
        <v>1000</v>
      </c>
      <c r="K90" s="10" t="n">
        <f aca="false">IF(AND($D90="Elegível",H90&gt;=G90),Parâmetros!$C$10,0)</f>
        <v>0</v>
      </c>
      <c r="L90" s="10" t="n">
        <f aca="false">J90+K90</f>
        <v>1000</v>
      </c>
      <c r="M90" s="10" t="n">
        <v>1000</v>
      </c>
      <c r="N90" s="7" t="str">
        <f aca="false">IF(L90=M90,"OK","DIVERGE")</f>
        <v>OK</v>
      </c>
    </row>
    <row r="91" customFormat="false" ht="15" hidden="false" customHeight="false" outlineLevel="0" collapsed="false">
      <c r="A91" s="7" t="s">
        <v>194</v>
      </c>
      <c r="B91" s="7" t="s">
        <v>195</v>
      </c>
      <c r="C91" s="7" t="s">
        <v>51</v>
      </c>
      <c r="D91" s="7" t="s">
        <v>30</v>
      </c>
      <c r="E91" s="8" t="n">
        <v>10500</v>
      </c>
      <c r="F91" s="8" t="n">
        <v>9174.7</v>
      </c>
      <c r="G91" s="7" t="n">
        <v>35</v>
      </c>
      <c r="H91" s="7" t="n">
        <v>34</v>
      </c>
      <c r="I91" s="9" t="n">
        <f aca="false">IF($D91="Elegível",F91/E91,"")</f>
        <v>0.873780952380952</v>
      </c>
      <c r="J91" s="10" t="n">
        <f aca="false">IF($D91="Elegível",INDEX(Parâmetros!$C$5:$C$8,MATCH(I91,Parâmetros!$B$5:$B$8,1)),0)</f>
        <v>1000</v>
      </c>
      <c r="K91" s="10" t="n">
        <f aca="false">IF(AND($D91="Elegível",H91&gt;=G91),Parâmetros!$C$10,0)</f>
        <v>0</v>
      </c>
      <c r="L91" s="10" t="n">
        <f aca="false">J91+K91</f>
        <v>1000</v>
      </c>
      <c r="M91" s="10" t="n">
        <v>1000</v>
      </c>
      <c r="N91" s="7" t="str">
        <f aca="false">IF(L91=M91,"OK","DIVERGE")</f>
        <v>OK</v>
      </c>
    </row>
    <row r="92" customFormat="false" ht="15" hidden="false" customHeight="false" outlineLevel="0" collapsed="false">
      <c r="A92" s="7" t="s">
        <v>196</v>
      </c>
      <c r="B92" s="7" t="s">
        <v>62</v>
      </c>
      <c r="C92" s="7" t="s">
        <v>37</v>
      </c>
      <c r="D92" s="7" t="s">
        <v>30</v>
      </c>
      <c r="E92" s="8" t="n">
        <v>5800</v>
      </c>
      <c r="F92" s="8" t="n">
        <v>6810.4</v>
      </c>
      <c r="G92" s="7" t="n">
        <v>30</v>
      </c>
      <c r="H92" s="7" t="n">
        <v>33</v>
      </c>
      <c r="I92" s="9" t="n">
        <f aca="false">IF($D92="Elegível",F92/E92,"")</f>
        <v>1.17420689655172</v>
      </c>
      <c r="J92" s="10" t="n">
        <f aca="false">IF($D92="Elegível",INDEX(Parâmetros!$C$5:$C$8,MATCH(I92,Parâmetros!$B$5:$B$8,1)),0)</f>
        <v>2500</v>
      </c>
      <c r="K92" s="10" t="n">
        <f aca="false">IF(AND($D92="Elegível",H92&gt;=G92),Parâmetros!$C$10,0)</f>
        <v>1500</v>
      </c>
      <c r="L92" s="10" t="n">
        <f aca="false">J92+K92</f>
        <v>4000</v>
      </c>
      <c r="M92" s="10" t="n">
        <v>4000</v>
      </c>
      <c r="N92" s="7" t="str">
        <f aca="false">IF(L92=M92,"OK","DIVERGE")</f>
        <v>OK</v>
      </c>
    </row>
    <row r="93" customFormat="false" ht="15" hidden="false" customHeight="false" outlineLevel="0" collapsed="false">
      <c r="A93" s="7" t="s">
        <v>197</v>
      </c>
      <c r="B93" s="7" t="s">
        <v>198</v>
      </c>
      <c r="C93" s="7" t="s">
        <v>40</v>
      </c>
      <c r="D93" s="7" t="s">
        <v>30</v>
      </c>
      <c r="E93" s="8" t="n">
        <v>14900</v>
      </c>
      <c r="F93" s="8" t="n">
        <v>11535.4</v>
      </c>
      <c r="G93" s="7" t="n">
        <v>45</v>
      </c>
      <c r="H93" s="7" t="n">
        <v>41</v>
      </c>
      <c r="I93" s="9" t="n">
        <f aca="false">IF($D93="Elegível",F93/E93,"")</f>
        <v>0.774187919463087</v>
      </c>
      <c r="J93" s="10" t="n">
        <f aca="false">IF($D93="Elegível",INDEX(Parâmetros!$C$5:$C$8,MATCH(I93,Parâmetros!$B$5:$B$8,1)),0)</f>
        <v>0</v>
      </c>
      <c r="K93" s="10" t="n">
        <f aca="false">IF(AND($D93="Elegível",H93&gt;=G93),Parâmetros!$C$10,0)</f>
        <v>0</v>
      </c>
      <c r="L93" s="10" t="n">
        <f aca="false">J93+K93</f>
        <v>0</v>
      </c>
      <c r="M93" s="10" t="n">
        <v>0</v>
      </c>
      <c r="N93" s="7" t="str">
        <f aca="false">IF(L93=M93,"OK","DIVERGE")</f>
        <v>OK</v>
      </c>
    </row>
    <row r="94" customFormat="false" ht="15" hidden="false" customHeight="false" outlineLevel="0" collapsed="false">
      <c r="A94" s="7" t="s">
        <v>199</v>
      </c>
      <c r="B94" s="7" t="s">
        <v>200</v>
      </c>
      <c r="C94" s="7" t="s">
        <v>33</v>
      </c>
      <c r="D94" s="7" t="s">
        <v>30</v>
      </c>
      <c r="E94" s="8" t="n">
        <v>5100</v>
      </c>
      <c r="F94" s="8" t="n">
        <v>4629.1</v>
      </c>
      <c r="G94" s="7" t="n">
        <v>30</v>
      </c>
      <c r="H94" s="7" t="n">
        <v>30</v>
      </c>
      <c r="I94" s="9" t="n">
        <f aca="false">IF($D94="Elegível",F94/E94,"")</f>
        <v>0.907666666666667</v>
      </c>
      <c r="J94" s="10" t="n">
        <f aca="false">IF($D94="Elegível",INDEX(Parâmetros!$C$5:$C$8,MATCH(I94,Parâmetros!$B$5:$B$8,1)),0)</f>
        <v>1000</v>
      </c>
      <c r="K94" s="10" t="n">
        <f aca="false">IF(AND($D94="Elegível",H94&gt;=G94),Parâmetros!$C$10,0)</f>
        <v>1500</v>
      </c>
      <c r="L94" s="10" t="n">
        <f aca="false">J94+K94</f>
        <v>2500</v>
      </c>
      <c r="M94" s="10" t="n">
        <v>2500</v>
      </c>
      <c r="N94" s="7" t="str">
        <f aca="false">IF(L94=M94,"OK","DIVERGE")</f>
        <v>OK</v>
      </c>
    </row>
    <row r="95" customFormat="false" ht="15" hidden="false" customHeight="false" outlineLevel="0" collapsed="false">
      <c r="A95" s="7" t="s">
        <v>201</v>
      </c>
      <c r="B95" s="7" t="s">
        <v>202</v>
      </c>
      <c r="C95" s="7" t="s">
        <v>33</v>
      </c>
      <c r="D95" s="7" t="s">
        <v>30</v>
      </c>
      <c r="E95" s="8" t="n">
        <v>9500</v>
      </c>
      <c r="F95" s="8" t="n">
        <v>9438</v>
      </c>
      <c r="G95" s="7" t="n">
        <v>40</v>
      </c>
      <c r="H95" s="7" t="n">
        <v>36</v>
      </c>
      <c r="I95" s="9" t="n">
        <f aca="false">IF($D95="Elegível",F95/E95,"")</f>
        <v>0.993473684210526</v>
      </c>
      <c r="J95" s="10" t="n">
        <f aca="false">IF($D95="Elegível",INDEX(Parâmetros!$C$5:$C$8,MATCH(I95,Parâmetros!$B$5:$B$8,1)),0)</f>
        <v>1000</v>
      </c>
      <c r="K95" s="10" t="n">
        <f aca="false">IF(AND($D95="Elegível",H95&gt;=G95),Parâmetros!$C$10,0)</f>
        <v>0</v>
      </c>
      <c r="L95" s="10" t="n">
        <f aca="false">J95+K95</f>
        <v>1000</v>
      </c>
      <c r="M95" s="10" t="n">
        <v>1000</v>
      </c>
      <c r="N95" s="7" t="str">
        <f aca="false">IF(L95=M95,"OK","DIVERGE")</f>
        <v>OK</v>
      </c>
    </row>
    <row r="96" customFormat="false" ht="15" hidden="false" customHeight="false" outlineLevel="0" collapsed="false">
      <c r="A96" s="7" t="s">
        <v>203</v>
      </c>
      <c r="B96" s="7" t="s">
        <v>204</v>
      </c>
      <c r="C96" s="7" t="s">
        <v>40</v>
      </c>
      <c r="D96" s="7" t="s">
        <v>30</v>
      </c>
      <c r="E96" s="8" t="n">
        <v>7700</v>
      </c>
      <c r="F96" s="8" t="n">
        <v>8379.6</v>
      </c>
      <c r="G96" s="7" t="n">
        <v>30</v>
      </c>
      <c r="H96" s="7" t="n">
        <v>29</v>
      </c>
      <c r="I96" s="9" t="n">
        <f aca="false">IF($D96="Elegível",F96/E96,"")</f>
        <v>1.08825974025974</v>
      </c>
      <c r="J96" s="10" t="n">
        <f aca="false">IF($D96="Elegível",INDEX(Parâmetros!$C$5:$C$8,MATCH(I96,Parâmetros!$B$5:$B$8,1)),0)</f>
        <v>2500</v>
      </c>
      <c r="K96" s="10" t="n">
        <f aca="false">IF(AND($D96="Elegível",H96&gt;=G96),Parâmetros!$C$10,0)</f>
        <v>0</v>
      </c>
      <c r="L96" s="10" t="n">
        <f aca="false">J96+K96</f>
        <v>2500</v>
      </c>
      <c r="M96" s="10" t="n">
        <v>2500</v>
      </c>
      <c r="N96" s="7" t="str">
        <f aca="false">IF(L96=M96,"OK","DIVERGE")</f>
        <v>OK</v>
      </c>
    </row>
    <row r="97" customFormat="false" ht="15" hidden="false" customHeight="false" outlineLevel="0" collapsed="false">
      <c r="A97" s="7" t="s">
        <v>205</v>
      </c>
      <c r="B97" s="7" t="s">
        <v>206</v>
      </c>
      <c r="C97" s="7" t="s">
        <v>37</v>
      </c>
      <c r="D97" s="7" t="s">
        <v>30</v>
      </c>
      <c r="E97" s="8" t="n">
        <v>6800</v>
      </c>
      <c r="F97" s="8" t="n">
        <v>7060.5</v>
      </c>
      <c r="G97" s="7" t="n">
        <v>35</v>
      </c>
      <c r="H97" s="7" t="n">
        <v>34</v>
      </c>
      <c r="I97" s="9" t="n">
        <f aca="false">IF($D97="Elegível",F97/E97,"")</f>
        <v>1.03830882352941</v>
      </c>
      <c r="J97" s="10" t="n">
        <f aca="false">IF($D97="Elegível",INDEX(Parâmetros!$C$5:$C$8,MATCH(I97,Parâmetros!$B$5:$B$8,1)),0)</f>
        <v>2500</v>
      </c>
      <c r="K97" s="10" t="n">
        <f aca="false">IF(AND($D97="Elegível",H97&gt;=G97),Parâmetros!$C$10,0)</f>
        <v>0</v>
      </c>
      <c r="L97" s="10" t="n">
        <f aca="false">J97+K97</f>
        <v>2500</v>
      </c>
      <c r="M97" s="10" t="n">
        <v>2500</v>
      </c>
      <c r="N97" s="7" t="str">
        <f aca="false">IF(L97=M97,"OK","DIVERGE")</f>
        <v>OK</v>
      </c>
    </row>
    <row r="98" customFormat="false" ht="15" hidden="false" customHeight="false" outlineLevel="0" collapsed="false">
      <c r="A98" s="7" t="s">
        <v>207</v>
      </c>
      <c r="B98" s="7" t="s">
        <v>208</v>
      </c>
      <c r="C98" s="7" t="s">
        <v>40</v>
      </c>
      <c r="D98" s="7" t="s">
        <v>30</v>
      </c>
      <c r="E98" s="8" t="n">
        <v>6500</v>
      </c>
      <c r="F98" s="8" t="n">
        <v>6115.3</v>
      </c>
      <c r="G98" s="7" t="n">
        <v>30</v>
      </c>
      <c r="H98" s="7" t="n">
        <v>31</v>
      </c>
      <c r="I98" s="9" t="n">
        <f aca="false">IF($D98="Elegível",F98/E98,"")</f>
        <v>0.940815384615385</v>
      </c>
      <c r="J98" s="10" t="n">
        <f aca="false">IF($D98="Elegível",INDEX(Parâmetros!$C$5:$C$8,MATCH(I98,Parâmetros!$B$5:$B$8,1)),0)</f>
        <v>1000</v>
      </c>
      <c r="K98" s="10" t="n">
        <f aca="false">IF(AND($D98="Elegível",H98&gt;=G98),Parâmetros!$C$10,0)</f>
        <v>1500</v>
      </c>
      <c r="L98" s="10" t="n">
        <f aca="false">J98+K98</f>
        <v>2500</v>
      </c>
      <c r="M98" s="10" t="n">
        <v>2500</v>
      </c>
      <c r="N98" s="7" t="str">
        <f aca="false">IF(L98=M98,"OK","DIVERGE")</f>
        <v>OK</v>
      </c>
    </row>
    <row r="99" customFormat="false" ht="15" hidden="false" customHeight="false" outlineLevel="0" collapsed="false">
      <c r="A99" s="7" t="s">
        <v>209</v>
      </c>
      <c r="B99" s="7" t="s">
        <v>195</v>
      </c>
      <c r="C99" s="7" t="s">
        <v>37</v>
      </c>
      <c r="D99" s="7" t="s">
        <v>30</v>
      </c>
      <c r="E99" s="8" t="n">
        <v>15600</v>
      </c>
      <c r="F99" s="8" t="n">
        <v>12075.9</v>
      </c>
      <c r="G99" s="7" t="n">
        <v>35</v>
      </c>
      <c r="H99" s="7" t="n">
        <v>37</v>
      </c>
      <c r="I99" s="9" t="n">
        <f aca="false">IF($D99="Elegível",F99/E99,"")</f>
        <v>0.774096153846154</v>
      </c>
      <c r="J99" s="10" t="n">
        <f aca="false">IF($D99="Elegível",INDEX(Parâmetros!$C$5:$C$8,MATCH(I99,Parâmetros!$B$5:$B$8,1)),0)</f>
        <v>0</v>
      </c>
      <c r="K99" s="10" t="n">
        <f aca="false">IF(AND($D99="Elegível",H99&gt;=G99),Parâmetros!$C$10,0)</f>
        <v>1500</v>
      </c>
      <c r="L99" s="10" t="n">
        <f aca="false">J99+K99</f>
        <v>1500</v>
      </c>
      <c r="M99" s="10" t="n">
        <v>1500</v>
      </c>
      <c r="N99" s="7" t="str">
        <f aca="false">IF(L99=M99,"OK","DIVERGE")</f>
        <v>OK</v>
      </c>
    </row>
    <row r="100" customFormat="false" ht="15" hidden="false" customHeight="false" outlineLevel="0" collapsed="false">
      <c r="A100" s="7" t="s">
        <v>210</v>
      </c>
      <c r="B100" s="7" t="s">
        <v>211</v>
      </c>
      <c r="C100" s="7" t="s">
        <v>29</v>
      </c>
      <c r="D100" s="7" t="s">
        <v>30</v>
      </c>
      <c r="E100" s="8" t="n">
        <v>7900</v>
      </c>
      <c r="F100" s="8" t="n">
        <v>7005.4</v>
      </c>
      <c r="G100" s="7" t="n">
        <v>35</v>
      </c>
      <c r="H100" s="7" t="n">
        <v>37</v>
      </c>
      <c r="I100" s="9" t="n">
        <f aca="false">IF($D100="Elegível",F100/E100,"")</f>
        <v>0.886759493670886</v>
      </c>
      <c r="J100" s="10" t="n">
        <f aca="false">IF($D100="Elegível",INDEX(Parâmetros!$C$5:$C$8,MATCH(I100,Parâmetros!$B$5:$B$8,1)),0)</f>
        <v>1000</v>
      </c>
      <c r="K100" s="10" t="n">
        <f aca="false">IF(AND($D100="Elegível",H100&gt;=G100),Parâmetros!$C$10,0)</f>
        <v>1500</v>
      </c>
      <c r="L100" s="10" t="n">
        <f aca="false">J100+K100</f>
        <v>2500</v>
      </c>
      <c r="M100" s="10" t="n">
        <v>2500</v>
      </c>
      <c r="N100" s="7" t="str">
        <f aca="false">IF(L100=M100,"OK","DIVERGE")</f>
        <v>OK</v>
      </c>
    </row>
    <row r="101" customFormat="false" ht="15" hidden="false" customHeight="false" outlineLevel="0" collapsed="false">
      <c r="A101" s="7" t="s">
        <v>212</v>
      </c>
      <c r="B101" s="7" t="s">
        <v>213</v>
      </c>
      <c r="C101" s="7" t="s">
        <v>51</v>
      </c>
      <c r="D101" s="7" t="s">
        <v>30</v>
      </c>
      <c r="E101" s="8" t="n">
        <v>3800</v>
      </c>
      <c r="F101" s="8" t="n">
        <v>3564.9</v>
      </c>
      <c r="G101" s="7" t="n">
        <v>25</v>
      </c>
      <c r="H101" s="7" t="n">
        <v>22</v>
      </c>
      <c r="I101" s="9" t="n">
        <f aca="false">IF($D101="Elegível",F101/E101,"")</f>
        <v>0.938131578947368</v>
      </c>
      <c r="J101" s="10" t="n">
        <f aca="false">IF($D101="Elegível",INDEX(Parâmetros!$C$5:$C$8,MATCH(I101,Parâmetros!$B$5:$B$8,1)),0)</f>
        <v>1000</v>
      </c>
      <c r="K101" s="10" t="n">
        <f aca="false">IF(AND($D101="Elegível",H101&gt;=G101),Parâmetros!$C$10,0)</f>
        <v>0</v>
      </c>
      <c r="L101" s="10" t="n">
        <f aca="false">J101+K101</f>
        <v>1000</v>
      </c>
      <c r="M101" s="10" t="n">
        <v>1000</v>
      </c>
      <c r="N101" s="7" t="str">
        <f aca="false">IF(L101=M101,"OK","DIVERGE")</f>
        <v>OK</v>
      </c>
    </row>
    <row r="102" customFormat="false" ht="15" hidden="false" customHeight="false" outlineLevel="0" collapsed="false">
      <c r="A102" s="7" t="s">
        <v>214</v>
      </c>
      <c r="B102" s="7" t="s">
        <v>154</v>
      </c>
      <c r="C102" s="7" t="s">
        <v>33</v>
      </c>
      <c r="D102" s="7" t="s">
        <v>30</v>
      </c>
      <c r="E102" s="8" t="n">
        <v>2800</v>
      </c>
      <c r="F102" s="8" t="n">
        <v>2292.2</v>
      </c>
      <c r="G102" s="7" t="n">
        <v>20</v>
      </c>
      <c r="H102" s="7" t="n">
        <v>20</v>
      </c>
      <c r="I102" s="9" t="n">
        <f aca="false">IF($D102="Elegível",F102/E102,"")</f>
        <v>0.818642857142857</v>
      </c>
      <c r="J102" s="10" t="n">
        <f aca="false">IF($D102="Elegível",INDEX(Parâmetros!$C$5:$C$8,MATCH(I102,Parâmetros!$B$5:$B$8,1)),0)</f>
        <v>1000</v>
      </c>
      <c r="K102" s="10" t="n">
        <f aca="false">IF(AND($D102="Elegível",H102&gt;=G102),Parâmetros!$C$10,0)</f>
        <v>1500</v>
      </c>
      <c r="L102" s="10" t="n">
        <f aca="false">J102+K102</f>
        <v>2500</v>
      </c>
      <c r="M102" s="10" t="n">
        <v>2500</v>
      </c>
      <c r="N102" s="7" t="str">
        <f aca="false">IF(L102=M102,"OK","DIVERGE")</f>
        <v>OK</v>
      </c>
    </row>
    <row r="103" customFormat="false" ht="15" hidden="false" customHeight="false" outlineLevel="0" collapsed="false">
      <c r="A103" s="7" t="s">
        <v>215</v>
      </c>
      <c r="B103" s="7" t="s">
        <v>208</v>
      </c>
      <c r="C103" s="7" t="s">
        <v>33</v>
      </c>
      <c r="D103" s="7" t="s">
        <v>30</v>
      </c>
      <c r="E103" s="8" t="n">
        <v>3000</v>
      </c>
      <c r="F103" s="8" t="n">
        <v>3039.3</v>
      </c>
      <c r="G103" s="7" t="n">
        <v>30</v>
      </c>
      <c r="H103" s="7" t="n">
        <v>27</v>
      </c>
      <c r="I103" s="9" t="n">
        <f aca="false">IF($D103="Elegível",F103/E103,"")</f>
        <v>1.0131</v>
      </c>
      <c r="J103" s="10" t="n">
        <f aca="false">IF($D103="Elegível",INDEX(Parâmetros!$C$5:$C$8,MATCH(I103,Parâmetros!$B$5:$B$8,1)),0)</f>
        <v>2500</v>
      </c>
      <c r="K103" s="10" t="n">
        <f aca="false">IF(AND($D103="Elegível",H103&gt;=G103),Parâmetros!$C$10,0)</f>
        <v>0</v>
      </c>
      <c r="L103" s="10" t="n">
        <f aca="false">J103+K103</f>
        <v>2500</v>
      </c>
      <c r="M103" s="10" t="n">
        <v>2500</v>
      </c>
      <c r="N103" s="7" t="str">
        <f aca="false">IF(L103=M103,"OK","DIVERGE")</f>
        <v>OK</v>
      </c>
    </row>
    <row r="104" customFormat="false" ht="15" hidden="false" customHeight="false" outlineLevel="0" collapsed="false">
      <c r="A104" s="7" t="s">
        <v>216</v>
      </c>
      <c r="B104" s="7" t="s">
        <v>217</v>
      </c>
      <c r="C104" s="7" t="s">
        <v>37</v>
      </c>
      <c r="D104" s="7" t="s">
        <v>30</v>
      </c>
      <c r="E104" s="8" t="n">
        <v>16400</v>
      </c>
      <c r="F104" s="8" t="n">
        <v>14335.7</v>
      </c>
      <c r="G104" s="7" t="n">
        <v>40</v>
      </c>
      <c r="H104" s="7" t="n">
        <v>37</v>
      </c>
      <c r="I104" s="9" t="n">
        <f aca="false">IF($D104="Elegível",F104/E104,"")</f>
        <v>0.874128048780488</v>
      </c>
      <c r="J104" s="10" t="n">
        <f aca="false">IF($D104="Elegível",INDEX(Parâmetros!$C$5:$C$8,MATCH(I104,Parâmetros!$B$5:$B$8,1)),0)</f>
        <v>1000</v>
      </c>
      <c r="K104" s="10" t="n">
        <f aca="false">IF(AND($D104="Elegível",H104&gt;=G104),Parâmetros!$C$10,0)</f>
        <v>0</v>
      </c>
      <c r="L104" s="10" t="n">
        <f aca="false">J104+K104</f>
        <v>1000</v>
      </c>
      <c r="M104" s="10" t="n">
        <v>1000</v>
      </c>
      <c r="N104" s="7" t="str">
        <f aca="false">IF(L104=M104,"OK","DIVERGE")</f>
        <v>OK</v>
      </c>
    </row>
    <row r="105" customFormat="false" ht="15" hidden="false" customHeight="false" outlineLevel="0" collapsed="false">
      <c r="A105" s="7" t="s">
        <v>218</v>
      </c>
      <c r="B105" s="7" t="s">
        <v>219</v>
      </c>
      <c r="C105" s="7" t="s">
        <v>40</v>
      </c>
      <c r="D105" s="7" t="s">
        <v>30</v>
      </c>
      <c r="E105" s="8" t="n">
        <v>2200</v>
      </c>
      <c r="F105" s="8" t="n">
        <v>2552.7</v>
      </c>
      <c r="G105" s="7" t="n">
        <v>25</v>
      </c>
      <c r="H105" s="7" t="n">
        <v>22</v>
      </c>
      <c r="I105" s="9" t="n">
        <f aca="false">IF($D105="Elegível",F105/E105,"")</f>
        <v>1.16031818181818</v>
      </c>
      <c r="J105" s="10" t="n">
        <f aca="false">IF($D105="Elegível",INDEX(Parâmetros!$C$5:$C$8,MATCH(I105,Parâmetros!$B$5:$B$8,1)),0)</f>
        <v>2500</v>
      </c>
      <c r="K105" s="10" t="n">
        <f aca="false">IF(AND($D105="Elegível",H105&gt;=G105),Parâmetros!$C$10,0)</f>
        <v>0</v>
      </c>
      <c r="L105" s="10" t="n">
        <f aca="false">J105+K105</f>
        <v>2500</v>
      </c>
      <c r="M105" s="10" t="n">
        <v>2500</v>
      </c>
      <c r="N105" s="7" t="str">
        <f aca="false">IF(L105=M105,"OK","DIVERGE")</f>
        <v>OK</v>
      </c>
    </row>
    <row r="106" customFormat="false" ht="15" hidden="false" customHeight="false" outlineLevel="0" collapsed="false">
      <c r="A106" s="7" t="s">
        <v>220</v>
      </c>
      <c r="B106" s="7" t="s">
        <v>221</v>
      </c>
      <c r="C106" s="7" t="s">
        <v>40</v>
      </c>
      <c r="D106" s="7" t="s">
        <v>30</v>
      </c>
      <c r="E106" s="8" t="n">
        <v>5500</v>
      </c>
      <c r="F106" s="8" t="n">
        <v>4460.9</v>
      </c>
      <c r="G106" s="7" t="n">
        <v>30</v>
      </c>
      <c r="H106" s="7" t="n">
        <v>29</v>
      </c>
      <c r="I106" s="9" t="n">
        <f aca="false">IF($D106="Elegível",F106/E106,"")</f>
        <v>0.811072727272727</v>
      </c>
      <c r="J106" s="10" t="n">
        <f aca="false">IF($D106="Elegível",INDEX(Parâmetros!$C$5:$C$8,MATCH(I106,Parâmetros!$B$5:$B$8,1)),0)</f>
        <v>1000</v>
      </c>
      <c r="K106" s="10" t="n">
        <f aca="false">IF(AND($D106="Elegível",H106&gt;=G106),Parâmetros!$C$10,0)</f>
        <v>0</v>
      </c>
      <c r="L106" s="10" t="n">
        <f aca="false">J106+K106</f>
        <v>1000</v>
      </c>
      <c r="M106" s="10" t="n">
        <v>1000</v>
      </c>
      <c r="N106" s="7" t="str">
        <f aca="false">IF(L106=M106,"OK","DIVERGE")</f>
        <v>OK</v>
      </c>
    </row>
    <row r="107" customFormat="false" ht="15" hidden="false" customHeight="false" outlineLevel="0" collapsed="false">
      <c r="A107" s="7" t="s">
        <v>222</v>
      </c>
      <c r="B107" s="7" t="s">
        <v>223</v>
      </c>
      <c r="C107" s="7" t="s">
        <v>29</v>
      </c>
      <c r="D107" s="7" t="s">
        <v>30</v>
      </c>
      <c r="E107" s="8" t="n">
        <v>6900</v>
      </c>
      <c r="F107" s="8" t="n">
        <v>7265.8</v>
      </c>
      <c r="G107" s="7" t="n">
        <v>30</v>
      </c>
      <c r="H107" s="7" t="n">
        <v>30</v>
      </c>
      <c r="I107" s="9" t="n">
        <f aca="false">IF($D107="Elegível",F107/E107,"")</f>
        <v>1.05301449275362</v>
      </c>
      <c r="J107" s="10" t="n">
        <f aca="false">IF($D107="Elegível",INDEX(Parâmetros!$C$5:$C$8,MATCH(I107,Parâmetros!$B$5:$B$8,1)),0)</f>
        <v>2500</v>
      </c>
      <c r="K107" s="10" t="n">
        <f aca="false">IF(AND($D107="Elegível",H107&gt;=G107),Parâmetros!$C$10,0)</f>
        <v>1500</v>
      </c>
      <c r="L107" s="10" t="n">
        <f aca="false">J107+K107</f>
        <v>4000</v>
      </c>
      <c r="M107" s="10" t="n">
        <v>4000</v>
      </c>
      <c r="N107" s="7" t="str">
        <f aca="false">IF(L107=M107,"OK","DIVERGE")</f>
        <v>OK</v>
      </c>
    </row>
    <row r="108" customFormat="false" ht="15" hidden="false" customHeight="false" outlineLevel="0" collapsed="false">
      <c r="A108" s="7" t="s">
        <v>224</v>
      </c>
      <c r="B108" s="7" t="s">
        <v>225</v>
      </c>
      <c r="C108" s="7" t="s">
        <v>37</v>
      </c>
      <c r="D108" s="7" t="s">
        <v>30</v>
      </c>
      <c r="E108" s="8" t="n">
        <v>10800</v>
      </c>
      <c r="F108" s="8" t="n">
        <v>8464.9</v>
      </c>
      <c r="G108" s="7" t="n">
        <v>40</v>
      </c>
      <c r="H108" s="7" t="n">
        <v>37</v>
      </c>
      <c r="I108" s="9" t="n">
        <f aca="false">IF($D108="Elegível",F108/E108,"")</f>
        <v>0.783787037037037</v>
      </c>
      <c r="J108" s="10" t="n">
        <f aca="false">IF($D108="Elegível",INDEX(Parâmetros!$C$5:$C$8,MATCH(I108,Parâmetros!$B$5:$B$8,1)),0)</f>
        <v>0</v>
      </c>
      <c r="K108" s="10" t="n">
        <f aca="false">IF(AND($D108="Elegível",H108&gt;=G108),Parâmetros!$C$10,0)</f>
        <v>0</v>
      </c>
      <c r="L108" s="10" t="n">
        <f aca="false">J108+K108</f>
        <v>0</v>
      </c>
      <c r="M108" s="10" t="n">
        <v>0</v>
      </c>
      <c r="N108" s="7" t="str">
        <f aca="false">IF(L108=M108,"OK","DIVERGE")</f>
        <v>OK</v>
      </c>
    </row>
    <row r="109" customFormat="false" ht="15" hidden="false" customHeight="false" outlineLevel="0" collapsed="false">
      <c r="A109" s="7" t="s">
        <v>226</v>
      </c>
      <c r="B109" s="7" t="s">
        <v>227</v>
      </c>
      <c r="C109" s="7" t="s">
        <v>33</v>
      </c>
      <c r="D109" s="7" t="s">
        <v>30</v>
      </c>
      <c r="E109" s="8" t="n">
        <v>5600</v>
      </c>
      <c r="F109" s="8" t="n">
        <v>4890.8</v>
      </c>
      <c r="G109" s="7" t="n">
        <v>30</v>
      </c>
      <c r="H109" s="7" t="n">
        <v>34</v>
      </c>
      <c r="I109" s="9" t="n">
        <f aca="false">IF($D109="Elegível",F109/E109,"")</f>
        <v>0.873357142857143</v>
      </c>
      <c r="J109" s="10" t="n">
        <f aca="false">IF($D109="Elegível",INDEX(Parâmetros!$C$5:$C$8,MATCH(I109,Parâmetros!$B$5:$B$8,1)),0)</f>
        <v>1000</v>
      </c>
      <c r="K109" s="10" t="n">
        <f aca="false">IF(AND($D109="Elegível",H109&gt;=G109),Parâmetros!$C$10,0)</f>
        <v>1500</v>
      </c>
      <c r="L109" s="10" t="n">
        <f aca="false">J109+K109</f>
        <v>2500</v>
      </c>
      <c r="M109" s="10" t="n">
        <v>2500</v>
      </c>
      <c r="N109" s="7" t="str">
        <f aca="false">IF(L109=M109,"OK","DIVERGE")</f>
        <v>OK</v>
      </c>
    </row>
    <row r="110" customFormat="false" ht="15" hidden="false" customHeight="false" outlineLevel="0" collapsed="false">
      <c r="A110" s="7" t="s">
        <v>228</v>
      </c>
      <c r="B110" s="7" t="s">
        <v>225</v>
      </c>
      <c r="C110" s="7" t="s">
        <v>29</v>
      </c>
      <c r="D110" s="7" t="s">
        <v>30</v>
      </c>
      <c r="E110" s="8" t="n">
        <v>13000</v>
      </c>
      <c r="F110" s="8" t="n">
        <v>13409.4</v>
      </c>
      <c r="G110" s="7" t="n">
        <v>45</v>
      </c>
      <c r="H110" s="7" t="n">
        <v>43</v>
      </c>
      <c r="I110" s="9" t="n">
        <f aca="false">IF($D110="Elegível",F110/E110,"")</f>
        <v>1.03149230769231</v>
      </c>
      <c r="J110" s="10" t="n">
        <f aca="false">IF($D110="Elegível",INDEX(Parâmetros!$C$5:$C$8,MATCH(I110,Parâmetros!$B$5:$B$8,1)),0)</f>
        <v>2500</v>
      </c>
      <c r="K110" s="10" t="n">
        <f aca="false">IF(AND($D110="Elegível",H110&gt;=G110),Parâmetros!$C$10,0)</f>
        <v>0</v>
      </c>
      <c r="L110" s="10" t="n">
        <f aca="false">J110+K110</f>
        <v>2500</v>
      </c>
      <c r="M110" s="10" t="n">
        <v>2500</v>
      </c>
      <c r="N110" s="7" t="str">
        <f aca="false">IF(L110=M110,"OK","DIVERGE")</f>
        <v>OK</v>
      </c>
    </row>
    <row r="111" customFormat="false" ht="15" hidden="false" customHeight="false" outlineLevel="0" collapsed="false">
      <c r="A111" s="7" t="s">
        <v>229</v>
      </c>
      <c r="B111" s="7" t="s">
        <v>168</v>
      </c>
      <c r="C111" s="7" t="s">
        <v>40</v>
      </c>
      <c r="D111" s="7" t="s">
        <v>30</v>
      </c>
      <c r="E111" s="8" t="n">
        <v>12700</v>
      </c>
      <c r="F111" s="8" t="n">
        <v>9622</v>
      </c>
      <c r="G111" s="7" t="n">
        <v>35</v>
      </c>
      <c r="H111" s="7" t="n">
        <v>35</v>
      </c>
      <c r="I111" s="9" t="n">
        <f aca="false">IF($D111="Elegível",F111/E111,"")</f>
        <v>0.757637795275591</v>
      </c>
      <c r="J111" s="10" t="n">
        <f aca="false">IF($D111="Elegível",INDEX(Parâmetros!$C$5:$C$8,MATCH(I111,Parâmetros!$B$5:$B$8,1)),0)</f>
        <v>0</v>
      </c>
      <c r="K111" s="10" t="n">
        <f aca="false">IF(AND($D111="Elegível",H111&gt;=G111),Parâmetros!$C$10,0)</f>
        <v>1500</v>
      </c>
      <c r="L111" s="10" t="n">
        <f aca="false">J111+K111</f>
        <v>1500</v>
      </c>
      <c r="M111" s="10" t="n">
        <v>1500</v>
      </c>
      <c r="N111" s="7" t="str">
        <f aca="false">IF(L111=M111,"OK","DIVERGE")</f>
        <v>OK</v>
      </c>
    </row>
    <row r="112" customFormat="false" ht="15" hidden="false" customHeight="false" outlineLevel="0" collapsed="false">
      <c r="A112" s="7" t="s">
        <v>230</v>
      </c>
      <c r="B112" s="7" t="s">
        <v>231</v>
      </c>
      <c r="C112" s="7" t="s">
        <v>40</v>
      </c>
      <c r="D112" s="7" t="s">
        <v>30</v>
      </c>
      <c r="E112" s="8" t="n">
        <v>6600</v>
      </c>
      <c r="F112" s="8" t="n">
        <v>5722</v>
      </c>
      <c r="G112" s="7" t="n">
        <v>30</v>
      </c>
      <c r="H112" s="7" t="n">
        <v>32</v>
      </c>
      <c r="I112" s="9" t="n">
        <f aca="false">IF($D112="Elegível",F112/E112,"")</f>
        <v>0.866969696969697</v>
      </c>
      <c r="J112" s="10" t="n">
        <f aca="false">IF($D112="Elegível",INDEX(Parâmetros!$C$5:$C$8,MATCH(I112,Parâmetros!$B$5:$B$8,1)),0)</f>
        <v>1000</v>
      </c>
      <c r="K112" s="10" t="n">
        <f aca="false">IF(AND($D112="Elegível",H112&gt;=G112),Parâmetros!$C$10,0)</f>
        <v>1500</v>
      </c>
      <c r="L112" s="10" t="n">
        <f aca="false">J112+K112</f>
        <v>2500</v>
      </c>
      <c r="M112" s="10" t="n">
        <v>2500</v>
      </c>
      <c r="N112" s="7" t="str">
        <f aca="false">IF(L112=M112,"OK","DIVERGE")</f>
        <v>OK</v>
      </c>
    </row>
    <row r="113" customFormat="false" ht="15" hidden="false" customHeight="false" outlineLevel="0" collapsed="false">
      <c r="A113" s="7" t="s">
        <v>232</v>
      </c>
      <c r="B113" s="7" t="s">
        <v>158</v>
      </c>
      <c r="C113" s="7" t="s">
        <v>33</v>
      </c>
      <c r="D113" s="7" t="s">
        <v>30</v>
      </c>
      <c r="E113" s="8" t="n">
        <v>7600</v>
      </c>
      <c r="F113" s="8" t="n">
        <v>7566.4</v>
      </c>
      <c r="G113" s="7" t="n">
        <v>35</v>
      </c>
      <c r="H113" s="7" t="n">
        <v>34</v>
      </c>
      <c r="I113" s="9" t="n">
        <f aca="false">IF($D113="Elegível",F113/E113,"")</f>
        <v>0.995578947368421</v>
      </c>
      <c r="J113" s="10" t="n">
        <f aca="false">IF($D113="Elegível",INDEX(Parâmetros!$C$5:$C$8,MATCH(I113,Parâmetros!$B$5:$B$8,1)),0)</f>
        <v>1000</v>
      </c>
      <c r="K113" s="10" t="n">
        <f aca="false">IF(AND($D113="Elegível",H113&gt;=G113),Parâmetros!$C$10,0)</f>
        <v>0</v>
      </c>
      <c r="L113" s="10" t="n">
        <f aca="false">J113+K113</f>
        <v>1000</v>
      </c>
      <c r="M113" s="10" t="n">
        <v>1000</v>
      </c>
      <c r="N113" s="7" t="str">
        <f aca="false">IF(L113=M113,"OK","DIVERGE")</f>
        <v>OK</v>
      </c>
    </row>
    <row r="114" customFormat="false" ht="15" hidden="false" customHeight="false" outlineLevel="0" collapsed="false">
      <c r="A114" s="7" t="s">
        <v>233</v>
      </c>
      <c r="B114" s="7" t="s">
        <v>234</v>
      </c>
      <c r="C114" s="7" t="s">
        <v>37</v>
      </c>
      <c r="D114" s="7" t="s">
        <v>30</v>
      </c>
      <c r="E114" s="8" t="n">
        <v>9200</v>
      </c>
      <c r="F114" s="8" t="n">
        <v>10886.4</v>
      </c>
      <c r="G114" s="7" t="n">
        <v>40</v>
      </c>
      <c r="H114" s="7" t="n">
        <v>39</v>
      </c>
      <c r="I114" s="9" t="n">
        <f aca="false">IF($D114="Elegível",F114/E114,"")</f>
        <v>1.18330434782609</v>
      </c>
      <c r="J114" s="10" t="n">
        <f aca="false">IF($D114="Elegível",INDEX(Parâmetros!$C$5:$C$8,MATCH(I114,Parâmetros!$B$5:$B$8,1)),0)</f>
        <v>2500</v>
      </c>
      <c r="K114" s="10" t="n">
        <f aca="false">IF(AND($D114="Elegível",H114&gt;=G114),Parâmetros!$C$10,0)</f>
        <v>0</v>
      </c>
      <c r="L114" s="10" t="n">
        <f aca="false">J114+K114</f>
        <v>2500</v>
      </c>
      <c r="M114" s="10" t="n">
        <v>2500</v>
      </c>
      <c r="N114" s="7" t="str">
        <f aca="false">IF(L114=M114,"OK","DIVERGE")</f>
        <v>OK</v>
      </c>
    </row>
    <row r="115" customFormat="false" ht="15" hidden="false" customHeight="false" outlineLevel="0" collapsed="false">
      <c r="A115" s="7" t="s">
        <v>235</v>
      </c>
      <c r="B115" s="7" t="s">
        <v>236</v>
      </c>
      <c r="C115" s="7" t="s">
        <v>37</v>
      </c>
      <c r="D115" s="7" t="s">
        <v>30</v>
      </c>
      <c r="E115" s="8" t="n">
        <v>9100</v>
      </c>
      <c r="F115" s="8" t="n">
        <v>10222.8</v>
      </c>
      <c r="G115" s="7" t="n">
        <v>35</v>
      </c>
      <c r="H115" s="7" t="n">
        <v>32</v>
      </c>
      <c r="I115" s="9" t="n">
        <f aca="false">IF($D115="Elegível",F115/E115,"")</f>
        <v>1.12338461538462</v>
      </c>
      <c r="J115" s="10" t="n">
        <f aca="false">IF($D115="Elegível",INDEX(Parâmetros!$C$5:$C$8,MATCH(I115,Parâmetros!$B$5:$B$8,1)),0)</f>
        <v>2500</v>
      </c>
      <c r="K115" s="10" t="n">
        <f aca="false">IF(AND($D115="Elegível",H115&gt;=G115),Parâmetros!$C$10,0)</f>
        <v>0</v>
      </c>
      <c r="L115" s="10" t="n">
        <f aca="false">J115+K115</f>
        <v>2500</v>
      </c>
      <c r="M115" s="10" t="n">
        <v>2500</v>
      </c>
      <c r="N115" s="7" t="str">
        <f aca="false">IF(L115=M115,"OK","DIVERGE")</f>
        <v>OK</v>
      </c>
    </row>
    <row r="116" customFormat="false" ht="15" hidden="false" customHeight="false" outlineLevel="0" collapsed="false">
      <c r="A116" s="7" t="s">
        <v>237</v>
      </c>
      <c r="B116" s="7" t="s">
        <v>172</v>
      </c>
      <c r="C116" s="7" t="s">
        <v>37</v>
      </c>
      <c r="D116" s="7" t="s">
        <v>30</v>
      </c>
      <c r="E116" s="8" t="n">
        <v>6900</v>
      </c>
      <c r="F116" s="8" t="n">
        <v>6963.2</v>
      </c>
      <c r="G116" s="7" t="n">
        <v>25</v>
      </c>
      <c r="H116" s="7" t="n">
        <v>28</v>
      </c>
      <c r="I116" s="9" t="n">
        <f aca="false">IF($D116="Elegível",F116/E116,"")</f>
        <v>1.00915942028986</v>
      </c>
      <c r="J116" s="10" t="n">
        <f aca="false">IF($D116="Elegível",INDEX(Parâmetros!$C$5:$C$8,MATCH(I116,Parâmetros!$B$5:$B$8,1)),0)</f>
        <v>2500</v>
      </c>
      <c r="K116" s="10" t="n">
        <f aca="false">IF(AND($D116="Elegível",H116&gt;=G116),Parâmetros!$C$10,0)</f>
        <v>1500</v>
      </c>
      <c r="L116" s="10" t="n">
        <f aca="false">J116+K116</f>
        <v>4000</v>
      </c>
      <c r="M116" s="10" t="n">
        <v>4000</v>
      </c>
      <c r="N116" s="7" t="str">
        <f aca="false">IF(L116=M116,"OK","DIVERGE")</f>
        <v>OK</v>
      </c>
    </row>
    <row r="117" customFormat="false" ht="15" hidden="false" customHeight="false" outlineLevel="0" collapsed="false">
      <c r="A117" s="7" t="s">
        <v>238</v>
      </c>
      <c r="B117" s="7" t="s">
        <v>239</v>
      </c>
      <c r="C117" s="7" t="s">
        <v>37</v>
      </c>
      <c r="D117" s="7" t="s">
        <v>30</v>
      </c>
      <c r="E117" s="8" t="n">
        <v>11300</v>
      </c>
      <c r="F117" s="8" t="n">
        <v>9346.2</v>
      </c>
      <c r="G117" s="7" t="n">
        <v>40</v>
      </c>
      <c r="H117" s="7" t="n">
        <v>39</v>
      </c>
      <c r="I117" s="9" t="n">
        <f aca="false">IF($D117="Elegível",F117/E117,"")</f>
        <v>0.827097345132744</v>
      </c>
      <c r="J117" s="10" t="n">
        <f aca="false">IF($D117="Elegível",INDEX(Parâmetros!$C$5:$C$8,MATCH(I117,Parâmetros!$B$5:$B$8,1)),0)</f>
        <v>1000</v>
      </c>
      <c r="K117" s="10" t="n">
        <f aca="false">IF(AND($D117="Elegível",H117&gt;=G117),Parâmetros!$C$10,0)</f>
        <v>0</v>
      </c>
      <c r="L117" s="10" t="n">
        <f aca="false">J117+K117</f>
        <v>1000</v>
      </c>
      <c r="M117" s="10" t="n">
        <v>1000</v>
      </c>
      <c r="N117" s="7" t="str">
        <f aca="false">IF(L117=M117,"OK","DIVERGE")</f>
        <v>OK</v>
      </c>
    </row>
    <row r="118" customFormat="false" ht="15" hidden="false" customHeight="false" outlineLevel="0" collapsed="false">
      <c r="A118" s="7" t="s">
        <v>240</v>
      </c>
      <c r="B118" s="7" t="s">
        <v>241</v>
      </c>
      <c r="C118" s="7" t="s">
        <v>40</v>
      </c>
      <c r="D118" s="7" t="s">
        <v>30</v>
      </c>
      <c r="E118" s="8" t="n">
        <v>7300</v>
      </c>
      <c r="F118" s="8" t="n">
        <v>7464</v>
      </c>
      <c r="G118" s="7" t="n">
        <v>40</v>
      </c>
      <c r="H118" s="7" t="n">
        <v>35</v>
      </c>
      <c r="I118" s="9" t="n">
        <f aca="false">IF($D118="Elegível",F118/E118,"")</f>
        <v>1.02246575342466</v>
      </c>
      <c r="J118" s="10" t="n">
        <f aca="false">IF($D118="Elegível",INDEX(Parâmetros!$C$5:$C$8,MATCH(I118,Parâmetros!$B$5:$B$8,1)),0)</f>
        <v>2500</v>
      </c>
      <c r="K118" s="10" t="n">
        <f aca="false">IF(AND($D118="Elegível",H118&gt;=G118),Parâmetros!$C$10,0)</f>
        <v>0</v>
      </c>
      <c r="L118" s="10" t="n">
        <f aca="false">J118+K118</f>
        <v>2500</v>
      </c>
      <c r="M118" s="10" t="n">
        <v>2500</v>
      </c>
      <c r="N118" s="7" t="str">
        <f aca="false">IF(L118=M118,"OK","DIVERGE")</f>
        <v>OK</v>
      </c>
    </row>
    <row r="119" customFormat="false" ht="15" hidden="false" customHeight="false" outlineLevel="0" collapsed="false">
      <c r="A119" s="7" t="s">
        <v>242</v>
      </c>
      <c r="B119" s="7" t="s">
        <v>39</v>
      </c>
      <c r="C119" s="7" t="s">
        <v>33</v>
      </c>
      <c r="D119" s="7" t="s">
        <v>30</v>
      </c>
      <c r="E119" s="8" t="n">
        <v>15400</v>
      </c>
      <c r="F119" s="8" t="n">
        <v>13952.5</v>
      </c>
      <c r="G119" s="7" t="n">
        <v>45</v>
      </c>
      <c r="H119" s="7" t="n">
        <v>40</v>
      </c>
      <c r="I119" s="9" t="n">
        <f aca="false">IF($D119="Elegível",F119/E119,"")</f>
        <v>0.906006493506494</v>
      </c>
      <c r="J119" s="10" t="n">
        <f aca="false">IF($D119="Elegível",INDEX(Parâmetros!$C$5:$C$8,MATCH(I119,Parâmetros!$B$5:$B$8,1)),0)</f>
        <v>1000</v>
      </c>
      <c r="K119" s="10" t="n">
        <f aca="false">IF(AND($D119="Elegível",H119&gt;=G119),Parâmetros!$C$10,0)</f>
        <v>0</v>
      </c>
      <c r="L119" s="10" t="n">
        <f aca="false">J119+K119</f>
        <v>1000</v>
      </c>
      <c r="M119" s="10" t="n">
        <v>1000</v>
      </c>
      <c r="N119" s="7" t="str">
        <f aca="false">IF(L119=M119,"OK","DIVERGE")</f>
        <v>OK</v>
      </c>
    </row>
    <row r="120" customFormat="false" ht="15" hidden="false" customHeight="false" outlineLevel="0" collapsed="false">
      <c r="A120" s="7" t="s">
        <v>243</v>
      </c>
      <c r="B120" s="7" t="s">
        <v>244</v>
      </c>
      <c r="C120" s="7" t="s">
        <v>33</v>
      </c>
      <c r="D120" s="7" t="s">
        <v>30</v>
      </c>
      <c r="E120" s="8" t="n">
        <v>6900</v>
      </c>
      <c r="F120" s="8" t="n">
        <v>5753.8</v>
      </c>
      <c r="G120" s="7" t="n">
        <v>30</v>
      </c>
      <c r="H120" s="7" t="n">
        <v>32</v>
      </c>
      <c r="I120" s="9" t="n">
        <f aca="false">IF($D120="Elegível",F120/E120,"")</f>
        <v>0.833884057971015</v>
      </c>
      <c r="J120" s="10" t="n">
        <f aca="false">IF($D120="Elegível",INDEX(Parâmetros!$C$5:$C$8,MATCH(I120,Parâmetros!$B$5:$B$8,1)),0)</f>
        <v>1000</v>
      </c>
      <c r="K120" s="10" t="n">
        <f aca="false">IF(AND($D120="Elegível",H120&gt;=G120),Parâmetros!$C$10,0)</f>
        <v>1500</v>
      </c>
      <c r="L120" s="10" t="n">
        <f aca="false">J120+K120</f>
        <v>2500</v>
      </c>
      <c r="M120" s="10" t="n">
        <v>2500</v>
      </c>
      <c r="N120" s="7" t="str">
        <f aca="false">IF(L120=M120,"OK","DIVERGE")</f>
        <v>OK</v>
      </c>
    </row>
    <row r="121" customFormat="false" ht="15" hidden="false" customHeight="false" outlineLevel="0" collapsed="false">
      <c r="A121" s="7" t="s">
        <v>245</v>
      </c>
      <c r="B121" s="7" t="s">
        <v>182</v>
      </c>
      <c r="C121" s="7" t="s">
        <v>37</v>
      </c>
      <c r="D121" s="7" t="s">
        <v>34</v>
      </c>
      <c r="E121" s="8" t="n">
        <v>11500</v>
      </c>
      <c r="F121" s="8" t="n">
        <v>10572.6</v>
      </c>
      <c r="G121" s="7" t="n">
        <v>45</v>
      </c>
      <c r="H121" s="7" t="n">
        <v>41</v>
      </c>
      <c r="I121" s="9" t="str">
        <f aca="false">IF($D121="Elegível",F121/E121,"")</f>
        <v/>
      </c>
      <c r="J121" s="10" t="n">
        <f aca="false">IF($D121="Elegível",INDEX(Parâmetros!$C$5:$C$8,MATCH(I121,Parâmetros!$B$5:$B$8,1)),0)</f>
        <v>0</v>
      </c>
      <c r="K121" s="10" t="n">
        <f aca="false">IF(AND($D121="Elegível",H121&gt;=G121),Parâmetros!$C$10,0)</f>
        <v>0</v>
      </c>
      <c r="L121" s="10" t="n">
        <f aca="false">J121+K121</f>
        <v>0</v>
      </c>
      <c r="M121" s="10" t="n">
        <v>0</v>
      </c>
      <c r="N121" s="7" t="str">
        <f aca="false">IF(L121=M121,"OK","DIVERGE")</f>
        <v>OK</v>
      </c>
    </row>
    <row r="122" customFormat="false" ht="15" hidden="false" customHeight="false" outlineLevel="0" collapsed="false">
      <c r="A122" s="7" t="s">
        <v>246</v>
      </c>
      <c r="B122" s="7" t="s">
        <v>247</v>
      </c>
      <c r="C122" s="7" t="s">
        <v>40</v>
      </c>
      <c r="D122" s="7" t="s">
        <v>30</v>
      </c>
      <c r="E122" s="8" t="n">
        <v>2600</v>
      </c>
      <c r="F122" s="8" t="n">
        <v>2431.6</v>
      </c>
      <c r="G122" s="7" t="n">
        <v>20</v>
      </c>
      <c r="H122" s="7" t="n">
        <v>21</v>
      </c>
      <c r="I122" s="9" t="n">
        <f aca="false">IF($D122="Elegível",F122/E122,"")</f>
        <v>0.935230769230769</v>
      </c>
      <c r="J122" s="10" t="n">
        <f aca="false">IF($D122="Elegível",INDEX(Parâmetros!$C$5:$C$8,MATCH(I122,Parâmetros!$B$5:$B$8,1)),0)</f>
        <v>1000</v>
      </c>
      <c r="K122" s="10" t="n">
        <f aca="false">IF(AND($D122="Elegível",H122&gt;=G122),Parâmetros!$C$10,0)</f>
        <v>1500</v>
      </c>
      <c r="L122" s="10" t="n">
        <f aca="false">J122+K122</f>
        <v>2500</v>
      </c>
      <c r="M122" s="10" t="n">
        <v>2500</v>
      </c>
      <c r="N122" s="7" t="str">
        <f aca="false">IF(L122=M122,"OK","DIVERGE")</f>
        <v>OK</v>
      </c>
    </row>
    <row r="123" customFormat="false" ht="15" hidden="false" customHeight="false" outlineLevel="0" collapsed="false">
      <c r="A123" s="7" t="s">
        <v>248</v>
      </c>
      <c r="B123" s="7" t="s">
        <v>249</v>
      </c>
      <c r="C123" s="7" t="s">
        <v>40</v>
      </c>
      <c r="D123" s="7" t="s">
        <v>30</v>
      </c>
      <c r="E123" s="8" t="n">
        <v>7900</v>
      </c>
      <c r="F123" s="8" t="n">
        <v>7003.5</v>
      </c>
      <c r="G123" s="7" t="n">
        <v>35</v>
      </c>
      <c r="H123" s="7" t="n">
        <v>34</v>
      </c>
      <c r="I123" s="9" t="n">
        <f aca="false">IF($D123="Elegível",F123/E123,"")</f>
        <v>0.886518987341772</v>
      </c>
      <c r="J123" s="10" t="n">
        <f aca="false">IF($D123="Elegível",INDEX(Parâmetros!$C$5:$C$8,MATCH(I123,Parâmetros!$B$5:$B$8,1)),0)</f>
        <v>1000</v>
      </c>
      <c r="K123" s="10" t="n">
        <f aca="false">IF(AND($D123="Elegível",H123&gt;=G123),Parâmetros!$C$10,0)</f>
        <v>0</v>
      </c>
      <c r="L123" s="10" t="n">
        <f aca="false">J123+K123</f>
        <v>1000</v>
      </c>
      <c r="M123" s="10" t="n">
        <v>1000</v>
      </c>
      <c r="N123" s="7" t="str">
        <f aca="false">IF(L123=M123,"OK","DIVERGE")</f>
        <v>OK</v>
      </c>
    </row>
    <row r="124" customFormat="false" ht="15" hidden="false" customHeight="false" outlineLevel="0" collapsed="false">
      <c r="A124" s="7" t="s">
        <v>250</v>
      </c>
      <c r="B124" s="7" t="s">
        <v>251</v>
      </c>
      <c r="C124" s="7" t="s">
        <v>37</v>
      </c>
      <c r="D124" s="7" t="s">
        <v>30</v>
      </c>
      <c r="E124" s="8" t="n">
        <v>5500</v>
      </c>
      <c r="F124" s="8" t="n">
        <v>5619.6</v>
      </c>
      <c r="G124" s="7" t="n">
        <v>35</v>
      </c>
      <c r="H124" s="7" t="n">
        <v>31</v>
      </c>
      <c r="I124" s="9" t="n">
        <f aca="false">IF($D124="Elegível",F124/E124,"")</f>
        <v>1.02174545454545</v>
      </c>
      <c r="J124" s="10" t="n">
        <f aca="false">IF($D124="Elegível",INDEX(Parâmetros!$C$5:$C$8,MATCH(I124,Parâmetros!$B$5:$B$8,1)),0)</f>
        <v>2500</v>
      </c>
      <c r="K124" s="10" t="n">
        <f aca="false">IF(AND($D124="Elegível",H124&gt;=G124),Parâmetros!$C$10,0)</f>
        <v>0</v>
      </c>
      <c r="L124" s="10" t="n">
        <f aca="false">J124+K124</f>
        <v>2500</v>
      </c>
      <c r="M124" s="10" t="n">
        <v>2500</v>
      </c>
      <c r="N124" s="7" t="str">
        <f aca="false">IF(L124=M124,"OK","DIVERGE")</f>
        <v>OK</v>
      </c>
    </row>
    <row r="125" customFormat="false" ht="15" hidden="false" customHeight="false" outlineLevel="0" collapsed="false">
      <c r="A125" s="7" t="s">
        <v>252</v>
      </c>
      <c r="B125" s="7" t="s">
        <v>253</v>
      </c>
      <c r="C125" s="7" t="s">
        <v>29</v>
      </c>
      <c r="D125" s="7" t="s">
        <v>30</v>
      </c>
      <c r="E125" s="8" t="n">
        <v>4400</v>
      </c>
      <c r="F125" s="8" t="n">
        <v>4001.8</v>
      </c>
      <c r="G125" s="7" t="n">
        <v>25</v>
      </c>
      <c r="H125" s="7" t="n">
        <v>25</v>
      </c>
      <c r="I125" s="9" t="n">
        <f aca="false">IF($D125="Elegível",F125/E125,"")</f>
        <v>0.9095</v>
      </c>
      <c r="J125" s="10" t="n">
        <f aca="false">IF($D125="Elegível",INDEX(Parâmetros!$C$5:$C$8,MATCH(I125,Parâmetros!$B$5:$B$8,1)),0)</f>
        <v>1000</v>
      </c>
      <c r="K125" s="10" t="n">
        <f aca="false">IF(AND($D125="Elegível",H125&gt;=G125),Parâmetros!$C$10,0)</f>
        <v>1500</v>
      </c>
      <c r="L125" s="10" t="n">
        <f aca="false">J125+K125</f>
        <v>2500</v>
      </c>
      <c r="M125" s="10" t="n">
        <v>2500</v>
      </c>
      <c r="N125" s="7" t="str">
        <f aca="false">IF(L125=M125,"OK","DIVERGE")</f>
        <v>OK</v>
      </c>
    </row>
    <row r="126" customFormat="false" ht="15" hidden="false" customHeight="false" outlineLevel="0" collapsed="false">
      <c r="A126" s="7" t="s">
        <v>254</v>
      </c>
      <c r="B126" s="7" t="s">
        <v>255</v>
      </c>
      <c r="C126" s="7" t="s">
        <v>51</v>
      </c>
      <c r="D126" s="7" t="s">
        <v>30</v>
      </c>
      <c r="E126" s="8" t="n">
        <v>11700</v>
      </c>
      <c r="F126" s="8" t="n">
        <v>10140.5</v>
      </c>
      <c r="G126" s="7" t="n">
        <v>40</v>
      </c>
      <c r="H126" s="7" t="n">
        <v>37</v>
      </c>
      <c r="I126" s="9" t="n">
        <f aca="false">IF($D126="Elegível",F126/E126,"")</f>
        <v>0.866709401709402</v>
      </c>
      <c r="J126" s="10" t="n">
        <f aca="false">IF($D126="Elegível",INDEX(Parâmetros!$C$5:$C$8,MATCH(I126,Parâmetros!$B$5:$B$8,1)),0)</f>
        <v>1000</v>
      </c>
      <c r="K126" s="10" t="n">
        <f aca="false">IF(AND($D126="Elegível",H126&gt;=G126),Parâmetros!$C$10,0)</f>
        <v>0</v>
      </c>
      <c r="L126" s="10" t="n">
        <f aca="false">J126+K126</f>
        <v>1000</v>
      </c>
      <c r="M126" s="10" t="n">
        <v>1000</v>
      </c>
      <c r="N126" s="7" t="str">
        <f aca="false">IF(L126=M126,"OK","DIVERGE")</f>
        <v>OK</v>
      </c>
    </row>
    <row r="127" customFormat="false" ht="15" hidden="false" customHeight="false" outlineLevel="0" collapsed="false">
      <c r="A127" s="7" t="s">
        <v>256</v>
      </c>
      <c r="B127" s="7" t="s">
        <v>257</v>
      </c>
      <c r="C127" s="7" t="s">
        <v>33</v>
      </c>
      <c r="D127" s="7" t="s">
        <v>89</v>
      </c>
      <c r="E127" s="8"/>
      <c r="F127" s="8" t="n">
        <v>7285.2</v>
      </c>
      <c r="G127" s="7"/>
      <c r="H127" s="7" t="n">
        <v>37</v>
      </c>
      <c r="I127" s="9" t="str">
        <f aca="false">IF($D127="Elegível",F127/E127,"")</f>
        <v/>
      </c>
      <c r="J127" s="10" t="n">
        <f aca="false">IF($D127="Elegível",INDEX(Parâmetros!$C$5:$C$8,MATCH(I127,Parâmetros!$B$5:$B$8,1)),0)</f>
        <v>0</v>
      </c>
      <c r="K127" s="10" t="n">
        <f aca="false">IF(AND($D127="Elegível",H127&gt;=G127),Parâmetros!$C$10,0)</f>
        <v>0</v>
      </c>
      <c r="L127" s="10" t="n">
        <f aca="false">J127+K127</f>
        <v>0</v>
      </c>
      <c r="M127" s="10" t="n">
        <v>0</v>
      </c>
      <c r="N127" s="7" t="str">
        <f aca="false">IF(L127=M127,"OK","DIVERGE")</f>
        <v>OK</v>
      </c>
    </row>
    <row r="128" customFormat="false" ht="15" hidden="false" customHeight="false" outlineLevel="0" collapsed="false">
      <c r="A128" s="7" t="s">
        <v>258</v>
      </c>
      <c r="B128" s="7" t="s">
        <v>259</v>
      </c>
      <c r="C128" s="7" t="s">
        <v>29</v>
      </c>
      <c r="D128" s="7" t="s">
        <v>30</v>
      </c>
      <c r="E128" s="8" t="n">
        <v>15500</v>
      </c>
      <c r="F128" s="8" t="n">
        <v>16009.4</v>
      </c>
      <c r="G128" s="7" t="n">
        <v>45</v>
      </c>
      <c r="H128" s="7" t="n">
        <v>41</v>
      </c>
      <c r="I128" s="9" t="n">
        <f aca="false">IF($D128="Elegível",F128/E128,"")</f>
        <v>1.03286451612903</v>
      </c>
      <c r="J128" s="10" t="n">
        <f aca="false">IF($D128="Elegível",INDEX(Parâmetros!$C$5:$C$8,MATCH(I128,Parâmetros!$B$5:$B$8,1)),0)</f>
        <v>2500</v>
      </c>
      <c r="K128" s="10" t="n">
        <f aca="false">IF(AND($D128="Elegível",H128&gt;=G128),Parâmetros!$C$10,0)</f>
        <v>0</v>
      </c>
      <c r="L128" s="10" t="n">
        <f aca="false">J128+K128</f>
        <v>2500</v>
      </c>
      <c r="M128" s="10" t="n">
        <v>2500</v>
      </c>
      <c r="N128" s="7" t="str">
        <f aca="false">IF(L128=M128,"OK","DIVERGE")</f>
        <v>OK</v>
      </c>
    </row>
    <row r="129" customFormat="false" ht="15" hidden="false" customHeight="false" outlineLevel="0" collapsed="false">
      <c r="A129" s="7" t="s">
        <v>260</v>
      </c>
      <c r="B129" s="7" t="s">
        <v>261</v>
      </c>
      <c r="C129" s="7" t="s">
        <v>37</v>
      </c>
      <c r="D129" s="7" t="s">
        <v>30</v>
      </c>
      <c r="E129" s="8" t="n">
        <v>8100</v>
      </c>
      <c r="F129" s="8" t="n">
        <v>9399.1</v>
      </c>
      <c r="G129" s="7" t="n">
        <v>40</v>
      </c>
      <c r="H129" s="7" t="n">
        <v>38</v>
      </c>
      <c r="I129" s="9" t="n">
        <f aca="false">IF($D129="Elegível",F129/E129,"")</f>
        <v>1.16038271604938</v>
      </c>
      <c r="J129" s="10" t="n">
        <f aca="false">IF($D129="Elegível",INDEX(Parâmetros!$C$5:$C$8,MATCH(I129,Parâmetros!$B$5:$B$8,1)),0)</f>
        <v>2500</v>
      </c>
      <c r="K129" s="10" t="n">
        <f aca="false">IF(AND($D129="Elegível",H129&gt;=G129),Parâmetros!$C$10,0)</f>
        <v>0</v>
      </c>
      <c r="L129" s="10" t="n">
        <f aca="false">J129+K129</f>
        <v>2500</v>
      </c>
      <c r="M129" s="10" t="n">
        <v>2500</v>
      </c>
      <c r="N129" s="7" t="str">
        <f aca="false">IF(L129=M129,"OK","DIVERGE")</f>
        <v>OK</v>
      </c>
    </row>
    <row r="130" customFormat="false" ht="15" hidden="false" customHeight="false" outlineLevel="0" collapsed="false">
      <c r="A130" s="7" t="s">
        <v>262</v>
      </c>
      <c r="B130" s="7" t="s">
        <v>263</v>
      </c>
      <c r="C130" s="7" t="s">
        <v>40</v>
      </c>
      <c r="D130" s="7" t="s">
        <v>30</v>
      </c>
      <c r="E130" s="8" t="n">
        <v>2800</v>
      </c>
      <c r="F130" s="8" t="n">
        <v>2391</v>
      </c>
      <c r="G130" s="7" t="n">
        <v>25</v>
      </c>
      <c r="H130" s="7" t="n">
        <v>22</v>
      </c>
      <c r="I130" s="9" t="n">
        <f aca="false">IF($D130="Elegível",F130/E130,"")</f>
        <v>0.853928571428572</v>
      </c>
      <c r="J130" s="10" t="n">
        <f aca="false">IF($D130="Elegível",INDEX(Parâmetros!$C$5:$C$8,MATCH(I130,Parâmetros!$B$5:$B$8,1)),0)</f>
        <v>1000</v>
      </c>
      <c r="K130" s="10" t="n">
        <f aca="false">IF(AND($D130="Elegível",H130&gt;=G130),Parâmetros!$C$10,0)</f>
        <v>0</v>
      </c>
      <c r="L130" s="10" t="n">
        <f aca="false">J130+K130</f>
        <v>1000</v>
      </c>
      <c r="M130" s="10" t="n">
        <v>1000</v>
      </c>
      <c r="N130" s="7" t="str">
        <f aca="false">IF(L130=M130,"OK","DIVERGE")</f>
        <v>OK</v>
      </c>
    </row>
    <row r="131" customFormat="false" ht="15" hidden="false" customHeight="false" outlineLevel="0" collapsed="false">
      <c r="A131" s="7" t="s">
        <v>264</v>
      </c>
      <c r="B131" s="7" t="s">
        <v>265</v>
      </c>
      <c r="C131" s="7" t="s">
        <v>40</v>
      </c>
      <c r="D131" s="7" t="s">
        <v>30</v>
      </c>
      <c r="E131" s="8" t="n">
        <v>4500</v>
      </c>
      <c r="F131" s="8" t="n">
        <v>4383.5</v>
      </c>
      <c r="G131" s="7" t="n">
        <v>30</v>
      </c>
      <c r="H131" s="7" t="n">
        <v>29</v>
      </c>
      <c r="I131" s="9" t="n">
        <f aca="false">IF($D131="Elegível",F131/E131,"")</f>
        <v>0.974111111111111</v>
      </c>
      <c r="J131" s="10" t="n">
        <f aca="false">IF($D131="Elegível",INDEX(Parâmetros!$C$5:$C$8,MATCH(I131,Parâmetros!$B$5:$B$8,1)),0)</f>
        <v>1000</v>
      </c>
      <c r="K131" s="10" t="n">
        <f aca="false">IF(AND($D131="Elegível",H131&gt;=G131),Parâmetros!$C$10,0)</f>
        <v>0</v>
      </c>
      <c r="L131" s="10" t="n">
        <f aca="false">J131+K131</f>
        <v>1000</v>
      </c>
      <c r="M131" s="10" t="n">
        <v>1000</v>
      </c>
      <c r="N131" s="7" t="str">
        <f aca="false">IF(L131=M131,"OK","DIVERGE")</f>
        <v>OK</v>
      </c>
    </row>
    <row r="132" customFormat="false" ht="15" hidden="false" customHeight="false" outlineLevel="0" collapsed="false">
      <c r="A132" s="7" t="s">
        <v>266</v>
      </c>
      <c r="B132" s="7" t="s">
        <v>255</v>
      </c>
      <c r="C132" s="7" t="s">
        <v>40</v>
      </c>
      <c r="D132" s="7" t="s">
        <v>30</v>
      </c>
      <c r="E132" s="8" t="n">
        <v>11400</v>
      </c>
      <c r="F132" s="8" t="n">
        <v>11967</v>
      </c>
      <c r="G132" s="7" t="n">
        <v>45</v>
      </c>
      <c r="H132" s="7" t="n">
        <v>43</v>
      </c>
      <c r="I132" s="9" t="n">
        <f aca="false">IF($D132="Elegível",F132/E132,"")</f>
        <v>1.04973684210526</v>
      </c>
      <c r="J132" s="10" t="n">
        <f aca="false">IF($D132="Elegível",INDEX(Parâmetros!$C$5:$C$8,MATCH(I132,Parâmetros!$B$5:$B$8,1)),0)</f>
        <v>2500</v>
      </c>
      <c r="K132" s="10" t="n">
        <f aca="false">IF(AND($D132="Elegível",H132&gt;=G132),Parâmetros!$C$10,0)</f>
        <v>0</v>
      </c>
      <c r="L132" s="10" t="n">
        <f aca="false">J132+K132</f>
        <v>2500</v>
      </c>
      <c r="M132" s="10" t="n">
        <v>2500</v>
      </c>
      <c r="N132" s="7" t="str">
        <f aca="false">IF(L132=M132,"OK","DIVERGE")</f>
        <v>OK</v>
      </c>
    </row>
    <row r="133" customFormat="false" ht="15" hidden="false" customHeight="false" outlineLevel="0" collapsed="false">
      <c r="A133" s="7" t="s">
        <v>267</v>
      </c>
      <c r="B133" s="7" t="s">
        <v>268</v>
      </c>
      <c r="C133" s="7" t="s">
        <v>37</v>
      </c>
      <c r="D133" s="7" t="s">
        <v>30</v>
      </c>
      <c r="E133" s="8" t="n">
        <v>15200</v>
      </c>
      <c r="F133" s="8" t="n">
        <v>16416.8</v>
      </c>
      <c r="G133" s="7" t="n">
        <v>45</v>
      </c>
      <c r="H133" s="7" t="n">
        <v>44</v>
      </c>
      <c r="I133" s="9" t="n">
        <f aca="false">IF($D133="Elegível",F133/E133,"")</f>
        <v>1.08005263157895</v>
      </c>
      <c r="J133" s="10" t="n">
        <f aca="false">IF($D133="Elegível",INDEX(Parâmetros!$C$5:$C$8,MATCH(I133,Parâmetros!$B$5:$B$8,1)),0)</f>
        <v>2500</v>
      </c>
      <c r="K133" s="10" t="n">
        <f aca="false">IF(AND($D133="Elegível",H133&gt;=G133),Parâmetros!$C$10,0)</f>
        <v>0</v>
      </c>
      <c r="L133" s="10" t="n">
        <f aca="false">J133+K133</f>
        <v>2500</v>
      </c>
      <c r="M133" s="10" t="n">
        <v>2500</v>
      </c>
      <c r="N133" s="7" t="str">
        <f aca="false">IF(L133=M133,"OK","DIVERGE")</f>
        <v>OK</v>
      </c>
    </row>
    <row r="134" customFormat="false" ht="15" hidden="false" customHeight="false" outlineLevel="0" collapsed="false">
      <c r="A134" s="7" t="s">
        <v>269</v>
      </c>
      <c r="B134" s="7" t="s">
        <v>121</v>
      </c>
      <c r="C134" s="7" t="s">
        <v>29</v>
      </c>
      <c r="D134" s="7" t="s">
        <v>30</v>
      </c>
      <c r="E134" s="8" t="n">
        <v>10000</v>
      </c>
      <c r="F134" s="8" t="n">
        <v>11530.4</v>
      </c>
      <c r="G134" s="7" t="n">
        <v>45</v>
      </c>
      <c r="H134" s="7" t="n">
        <v>45</v>
      </c>
      <c r="I134" s="9" t="n">
        <f aca="false">IF($D134="Elegível",F134/E134,"")</f>
        <v>1.15304</v>
      </c>
      <c r="J134" s="10" t="n">
        <f aca="false">IF($D134="Elegível",INDEX(Parâmetros!$C$5:$C$8,MATCH(I134,Parâmetros!$B$5:$B$8,1)),0)</f>
        <v>2500</v>
      </c>
      <c r="K134" s="10" t="n">
        <f aca="false">IF(AND($D134="Elegível",H134&gt;=G134),Parâmetros!$C$10,0)</f>
        <v>1500</v>
      </c>
      <c r="L134" s="10" t="n">
        <f aca="false">J134+K134</f>
        <v>4000</v>
      </c>
      <c r="M134" s="10" t="n">
        <v>4000</v>
      </c>
      <c r="N134" s="7" t="str">
        <f aca="false">IF(L134=M134,"OK","DIVERGE")</f>
        <v>OK</v>
      </c>
    </row>
    <row r="135" customFormat="false" ht="15" hidden="false" customHeight="false" outlineLevel="0" collapsed="false">
      <c r="A135" s="7" t="s">
        <v>270</v>
      </c>
      <c r="B135" s="7" t="s">
        <v>132</v>
      </c>
      <c r="C135" s="7" t="s">
        <v>51</v>
      </c>
      <c r="D135" s="7" t="s">
        <v>30</v>
      </c>
      <c r="E135" s="8" t="n">
        <v>3700</v>
      </c>
      <c r="F135" s="8" t="n">
        <v>3123.3</v>
      </c>
      <c r="G135" s="7" t="n">
        <v>30</v>
      </c>
      <c r="H135" s="7" t="n">
        <v>25</v>
      </c>
      <c r="I135" s="9" t="n">
        <f aca="false">IF($D135="Elegível",F135/E135,"")</f>
        <v>0.844135135135135</v>
      </c>
      <c r="J135" s="10" t="n">
        <f aca="false">IF($D135="Elegível",INDEX(Parâmetros!$C$5:$C$8,MATCH(I135,Parâmetros!$B$5:$B$8,1)),0)</f>
        <v>1000</v>
      </c>
      <c r="K135" s="10" t="n">
        <f aca="false">IF(AND($D135="Elegível",H135&gt;=G135),Parâmetros!$C$10,0)</f>
        <v>0</v>
      </c>
      <c r="L135" s="10" t="n">
        <f aca="false">J135+K135</f>
        <v>1000</v>
      </c>
      <c r="M135" s="10" t="n">
        <v>1000</v>
      </c>
      <c r="N135" s="7" t="str">
        <f aca="false">IF(L135=M135,"OK","DIVERGE")</f>
        <v>OK</v>
      </c>
    </row>
    <row r="136" customFormat="false" ht="15" hidden="false" customHeight="false" outlineLevel="0" collapsed="false">
      <c r="A136" s="7" t="s">
        <v>271</v>
      </c>
      <c r="B136" s="7" t="s">
        <v>272</v>
      </c>
      <c r="C136" s="7" t="s">
        <v>51</v>
      </c>
      <c r="D136" s="7" t="s">
        <v>30</v>
      </c>
      <c r="E136" s="8" t="n">
        <v>2900</v>
      </c>
      <c r="F136" s="8" t="n">
        <v>3557.5</v>
      </c>
      <c r="G136" s="7" t="n">
        <v>25</v>
      </c>
      <c r="H136" s="7" t="n">
        <v>27</v>
      </c>
      <c r="I136" s="9" t="n">
        <f aca="false">IF($D136="Elegível",F136/E136,"")</f>
        <v>1.22672413793103</v>
      </c>
      <c r="J136" s="10" t="n">
        <f aca="false">IF($D136="Elegível",INDEX(Parâmetros!$C$5:$C$8,MATCH(I136,Parâmetros!$B$5:$B$8,1)),0)</f>
        <v>4000</v>
      </c>
      <c r="K136" s="10" t="n">
        <f aca="false">IF(AND($D136="Elegível",H136&gt;=G136),Parâmetros!$C$10,0)</f>
        <v>1500</v>
      </c>
      <c r="L136" s="10" t="n">
        <f aca="false">J136+K136</f>
        <v>5500</v>
      </c>
      <c r="M136" s="10" t="n">
        <v>5500</v>
      </c>
      <c r="N136" s="7" t="str">
        <f aca="false">IF(L136=M136,"OK","DIVERGE")</f>
        <v>OK</v>
      </c>
    </row>
    <row r="137" customFormat="false" ht="15" hidden="false" customHeight="false" outlineLevel="0" collapsed="false">
      <c r="A137" s="7" t="s">
        <v>273</v>
      </c>
      <c r="B137" s="7" t="s">
        <v>274</v>
      </c>
      <c r="C137" s="7" t="s">
        <v>37</v>
      </c>
      <c r="D137" s="7" t="s">
        <v>30</v>
      </c>
      <c r="E137" s="8" t="n">
        <v>13400</v>
      </c>
      <c r="F137" s="8" t="n">
        <v>10937.2</v>
      </c>
      <c r="G137" s="7" t="n">
        <v>35</v>
      </c>
      <c r="H137" s="7" t="n">
        <v>38</v>
      </c>
      <c r="I137" s="9" t="n">
        <f aca="false">IF($D137="Elegível",F137/E137,"")</f>
        <v>0.816208955223881</v>
      </c>
      <c r="J137" s="10" t="n">
        <f aca="false">IF($D137="Elegível",INDEX(Parâmetros!$C$5:$C$8,MATCH(I137,Parâmetros!$B$5:$B$8,1)),0)</f>
        <v>1000</v>
      </c>
      <c r="K137" s="10" t="n">
        <f aca="false">IF(AND($D137="Elegível",H137&gt;=G137),Parâmetros!$C$10,0)</f>
        <v>1500</v>
      </c>
      <c r="L137" s="10" t="n">
        <f aca="false">J137+K137</f>
        <v>2500</v>
      </c>
      <c r="M137" s="10" t="n">
        <v>2500</v>
      </c>
      <c r="N137" s="7" t="str">
        <f aca="false">IF(L137=M137,"OK","DIVERGE")</f>
        <v>OK</v>
      </c>
    </row>
    <row r="138" customFormat="false" ht="15" hidden="false" customHeight="false" outlineLevel="0" collapsed="false">
      <c r="A138" s="7" t="s">
        <v>275</v>
      </c>
      <c r="B138" s="7" t="s">
        <v>276</v>
      </c>
      <c r="C138" s="7" t="s">
        <v>29</v>
      </c>
      <c r="D138" s="7" t="s">
        <v>30</v>
      </c>
      <c r="E138" s="8" t="n">
        <v>14600</v>
      </c>
      <c r="F138" s="8" t="n">
        <v>11673.4</v>
      </c>
      <c r="G138" s="7" t="n">
        <v>45</v>
      </c>
      <c r="H138" s="7" t="n">
        <v>42</v>
      </c>
      <c r="I138" s="9" t="n">
        <f aca="false">IF($D138="Elegível",F138/E138,"")</f>
        <v>0.799547945205479</v>
      </c>
      <c r="J138" s="10" t="n">
        <f aca="false">IF($D138="Elegível",INDEX(Parâmetros!$C$5:$C$8,MATCH(I138,Parâmetros!$B$5:$B$8,1)),0)</f>
        <v>0</v>
      </c>
      <c r="K138" s="10" t="n">
        <f aca="false">IF(AND($D138="Elegível",H138&gt;=G138),Parâmetros!$C$10,0)</f>
        <v>0</v>
      </c>
      <c r="L138" s="10" t="n">
        <f aca="false">J138+K138</f>
        <v>0</v>
      </c>
      <c r="M138" s="10" t="n">
        <v>0</v>
      </c>
      <c r="N138" s="7" t="str">
        <f aca="false">IF(L138=M138,"OK","DIVERGE")</f>
        <v>OK</v>
      </c>
    </row>
    <row r="139" customFormat="false" ht="15" hidden="false" customHeight="false" outlineLevel="0" collapsed="false">
      <c r="A139" s="7" t="s">
        <v>277</v>
      </c>
      <c r="B139" s="7" t="s">
        <v>202</v>
      </c>
      <c r="C139" s="7" t="s">
        <v>29</v>
      </c>
      <c r="D139" s="7" t="s">
        <v>30</v>
      </c>
      <c r="E139" s="8" t="n">
        <v>3900</v>
      </c>
      <c r="F139" s="8" t="n">
        <v>2995.2</v>
      </c>
      <c r="G139" s="7" t="n">
        <v>30</v>
      </c>
      <c r="H139" s="7" t="n">
        <v>28</v>
      </c>
      <c r="I139" s="9" t="n">
        <f aca="false">IF($D139="Elegível",F139/E139,"")</f>
        <v>0.768</v>
      </c>
      <c r="J139" s="10" t="n">
        <f aca="false">IF($D139="Elegível",INDEX(Parâmetros!$C$5:$C$8,MATCH(I139,Parâmetros!$B$5:$B$8,1)),0)</f>
        <v>0</v>
      </c>
      <c r="K139" s="10" t="n">
        <f aca="false">IF(AND($D139="Elegível",H139&gt;=G139),Parâmetros!$C$10,0)</f>
        <v>0</v>
      </c>
      <c r="L139" s="10" t="n">
        <f aca="false">J139+K139</f>
        <v>0</v>
      </c>
      <c r="M139" s="10" t="n">
        <v>0</v>
      </c>
      <c r="N139" s="7" t="str">
        <f aca="false">IF(L139=M139,"OK","DIVERGE")</f>
        <v>OK</v>
      </c>
    </row>
    <row r="140" customFormat="false" ht="15" hidden="false" customHeight="false" outlineLevel="0" collapsed="false">
      <c r="A140" s="7" t="s">
        <v>278</v>
      </c>
      <c r="B140" s="7" t="s">
        <v>143</v>
      </c>
      <c r="C140" s="7" t="s">
        <v>40</v>
      </c>
      <c r="D140" s="7" t="s">
        <v>30</v>
      </c>
      <c r="E140" s="8" t="n">
        <v>3200</v>
      </c>
      <c r="F140" s="8" t="n">
        <v>3968.3</v>
      </c>
      <c r="G140" s="7" t="n">
        <v>25</v>
      </c>
      <c r="H140" s="7" t="n">
        <v>25</v>
      </c>
      <c r="I140" s="9" t="n">
        <f aca="false">IF($D140="Elegível",F140/E140,"")</f>
        <v>1.24009375</v>
      </c>
      <c r="J140" s="10" t="n">
        <f aca="false">IF($D140="Elegível",INDEX(Parâmetros!$C$5:$C$8,MATCH(I140,Parâmetros!$B$5:$B$8,1)),0)</f>
        <v>4000</v>
      </c>
      <c r="K140" s="10" t="n">
        <f aca="false">IF(AND($D140="Elegível",H140&gt;=G140),Parâmetros!$C$10,0)</f>
        <v>1500</v>
      </c>
      <c r="L140" s="10" t="n">
        <f aca="false">J140+K140</f>
        <v>5500</v>
      </c>
      <c r="M140" s="10" t="n">
        <v>5500</v>
      </c>
      <c r="N140" s="7" t="str">
        <f aca="false">IF(L140=M140,"OK","DIVERGE")</f>
        <v>OK</v>
      </c>
    </row>
    <row r="141" customFormat="false" ht="15" hidden="false" customHeight="false" outlineLevel="0" collapsed="false">
      <c r="A141" s="7" t="s">
        <v>279</v>
      </c>
      <c r="B141" s="7" t="s">
        <v>280</v>
      </c>
      <c r="C141" s="7" t="s">
        <v>40</v>
      </c>
      <c r="D141" s="7" t="s">
        <v>30</v>
      </c>
      <c r="E141" s="8" t="n">
        <v>15200</v>
      </c>
      <c r="F141" s="8" t="n">
        <v>12689.2</v>
      </c>
      <c r="G141" s="7" t="n">
        <v>40</v>
      </c>
      <c r="H141" s="7" t="n">
        <v>44</v>
      </c>
      <c r="I141" s="9" t="n">
        <f aca="false">IF($D141="Elegível",F141/E141,"")</f>
        <v>0.834815789473684</v>
      </c>
      <c r="J141" s="10" t="n">
        <f aca="false">IF($D141="Elegível",INDEX(Parâmetros!$C$5:$C$8,MATCH(I141,Parâmetros!$B$5:$B$8,1)),0)</f>
        <v>1000</v>
      </c>
      <c r="K141" s="10" t="n">
        <f aca="false">IF(AND($D141="Elegível",H141&gt;=G141),Parâmetros!$C$10,0)</f>
        <v>1500</v>
      </c>
      <c r="L141" s="10" t="n">
        <f aca="false">J141+K141</f>
        <v>2500</v>
      </c>
      <c r="M141" s="10" t="n">
        <v>2500</v>
      </c>
      <c r="N141" s="7" t="str">
        <f aca="false">IF(L141=M141,"OK","DIVERGE")</f>
        <v>OK</v>
      </c>
    </row>
    <row r="142" customFormat="false" ht="15" hidden="false" customHeight="false" outlineLevel="0" collapsed="false">
      <c r="A142" s="7" t="s">
        <v>281</v>
      </c>
      <c r="B142" s="7" t="s">
        <v>282</v>
      </c>
      <c r="C142" s="7" t="s">
        <v>33</v>
      </c>
      <c r="D142" s="7" t="s">
        <v>30</v>
      </c>
      <c r="E142" s="8" t="n">
        <v>11900</v>
      </c>
      <c r="F142" s="8" t="n">
        <v>10160.1</v>
      </c>
      <c r="G142" s="7" t="n">
        <v>30</v>
      </c>
      <c r="H142" s="7" t="n">
        <v>31</v>
      </c>
      <c r="I142" s="9" t="n">
        <f aca="false">IF($D142="Elegível",F142/E142,"")</f>
        <v>0.853789915966387</v>
      </c>
      <c r="J142" s="10" t="n">
        <f aca="false">IF($D142="Elegível",INDEX(Parâmetros!$C$5:$C$8,MATCH(I142,Parâmetros!$B$5:$B$8,1)),0)</f>
        <v>1000</v>
      </c>
      <c r="K142" s="10" t="n">
        <f aca="false">IF(AND($D142="Elegível",H142&gt;=G142),Parâmetros!$C$10,0)</f>
        <v>1500</v>
      </c>
      <c r="L142" s="10" t="n">
        <f aca="false">J142+K142</f>
        <v>2500</v>
      </c>
      <c r="M142" s="10" t="n">
        <v>2500</v>
      </c>
      <c r="N142" s="7" t="str">
        <f aca="false">IF(L142=M142,"OK","DIVERGE")</f>
        <v>OK</v>
      </c>
    </row>
    <row r="143" customFormat="false" ht="15" hidden="false" customHeight="false" outlineLevel="0" collapsed="false">
      <c r="A143" s="7" t="s">
        <v>283</v>
      </c>
      <c r="B143" s="7" t="s">
        <v>284</v>
      </c>
      <c r="C143" s="7" t="s">
        <v>51</v>
      </c>
      <c r="D143" s="7" t="s">
        <v>30</v>
      </c>
      <c r="E143" s="8" t="n">
        <v>3800</v>
      </c>
      <c r="F143" s="8" t="n">
        <v>3290.7</v>
      </c>
      <c r="G143" s="7" t="n">
        <v>30</v>
      </c>
      <c r="H143" s="7" t="n">
        <v>25</v>
      </c>
      <c r="I143" s="9" t="n">
        <f aca="false">IF($D143="Elegível",F143/E143,"")</f>
        <v>0.865973684210526</v>
      </c>
      <c r="J143" s="10" t="n">
        <f aca="false">IF($D143="Elegível",INDEX(Parâmetros!$C$5:$C$8,MATCH(I143,Parâmetros!$B$5:$B$8,1)),0)</f>
        <v>1000</v>
      </c>
      <c r="K143" s="10" t="n">
        <f aca="false">IF(AND($D143="Elegível",H143&gt;=G143),Parâmetros!$C$10,0)</f>
        <v>0</v>
      </c>
      <c r="L143" s="10" t="n">
        <f aca="false">J143+K143</f>
        <v>1000</v>
      </c>
      <c r="M143" s="10" t="n">
        <v>1000</v>
      </c>
      <c r="N143" s="7" t="str">
        <f aca="false">IF(L143=M143,"OK","DIVERGE")</f>
        <v>OK</v>
      </c>
    </row>
    <row r="144" customFormat="false" ht="15" hidden="false" customHeight="false" outlineLevel="0" collapsed="false">
      <c r="A144" s="7" t="s">
        <v>285</v>
      </c>
      <c r="B144" s="7" t="s">
        <v>286</v>
      </c>
      <c r="C144" s="7" t="s">
        <v>33</v>
      </c>
      <c r="D144" s="7" t="s">
        <v>30</v>
      </c>
      <c r="E144" s="8" t="n">
        <v>12700</v>
      </c>
      <c r="F144" s="8" t="n">
        <v>10074.1</v>
      </c>
      <c r="G144" s="7" t="n">
        <v>35</v>
      </c>
      <c r="H144" s="7" t="n">
        <v>36</v>
      </c>
      <c r="I144" s="9" t="n">
        <f aca="false">IF($D144="Elegível",F144/E144,"")</f>
        <v>0.793236220472441</v>
      </c>
      <c r="J144" s="10" t="n">
        <f aca="false">IF($D144="Elegível",INDEX(Parâmetros!$C$5:$C$8,MATCH(I144,Parâmetros!$B$5:$B$8,1)),0)</f>
        <v>0</v>
      </c>
      <c r="K144" s="10" t="n">
        <f aca="false">IF(AND($D144="Elegível",H144&gt;=G144),Parâmetros!$C$10,0)</f>
        <v>1500</v>
      </c>
      <c r="L144" s="10" t="n">
        <f aca="false">J144+K144</f>
        <v>1500</v>
      </c>
      <c r="M144" s="10" t="n">
        <v>1500</v>
      </c>
      <c r="N144" s="7" t="str">
        <f aca="false">IF(L144=M144,"OK","DIVERGE")</f>
        <v>OK</v>
      </c>
    </row>
    <row r="145" customFormat="false" ht="15" hidden="false" customHeight="false" outlineLevel="0" collapsed="false">
      <c r="A145" s="7" t="s">
        <v>287</v>
      </c>
      <c r="B145" s="7" t="s">
        <v>288</v>
      </c>
      <c r="C145" s="7" t="s">
        <v>51</v>
      </c>
      <c r="D145" s="7" t="s">
        <v>30</v>
      </c>
      <c r="E145" s="8" t="n">
        <v>6600</v>
      </c>
      <c r="F145" s="8" t="n">
        <v>7081.8</v>
      </c>
      <c r="G145" s="7" t="n">
        <v>35</v>
      </c>
      <c r="H145" s="7" t="n">
        <v>36</v>
      </c>
      <c r="I145" s="9" t="n">
        <f aca="false">IF($D145="Elegível",F145/E145,"")</f>
        <v>1.073</v>
      </c>
      <c r="J145" s="10" t="n">
        <f aca="false">IF($D145="Elegível",INDEX(Parâmetros!$C$5:$C$8,MATCH(I145,Parâmetros!$B$5:$B$8,1)),0)</f>
        <v>2500</v>
      </c>
      <c r="K145" s="10" t="n">
        <f aca="false">IF(AND($D145="Elegível",H145&gt;=G145),Parâmetros!$C$10,0)</f>
        <v>1500</v>
      </c>
      <c r="L145" s="10" t="n">
        <f aca="false">J145+K145</f>
        <v>4000</v>
      </c>
      <c r="M145" s="10" t="n">
        <v>4000</v>
      </c>
      <c r="N145" s="7" t="str">
        <f aca="false">IF(L145=M145,"OK","DIVERGE")</f>
        <v>OK</v>
      </c>
    </row>
    <row r="146" customFormat="false" ht="15" hidden="false" customHeight="false" outlineLevel="0" collapsed="false">
      <c r="A146" s="7" t="s">
        <v>289</v>
      </c>
      <c r="B146" s="7" t="s">
        <v>290</v>
      </c>
      <c r="C146" s="7" t="s">
        <v>40</v>
      </c>
      <c r="D146" s="7" t="s">
        <v>30</v>
      </c>
      <c r="E146" s="8" t="n">
        <v>8000</v>
      </c>
      <c r="F146" s="8" t="n">
        <v>8031.2</v>
      </c>
      <c r="G146" s="7" t="n">
        <v>40</v>
      </c>
      <c r="H146" s="7" t="n">
        <v>34</v>
      </c>
      <c r="I146" s="9" t="n">
        <f aca="false">IF($D146="Elegível",F146/E146,"")</f>
        <v>1.0039</v>
      </c>
      <c r="J146" s="10" t="n">
        <f aca="false">IF($D146="Elegível",INDEX(Parâmetros!$C$5:$C$8,MATCH(I146,Parâmetros!$B$5:$B$8,1)),0)</f>
        <v>2500</v>
      </c>
      <c r="K146" s="10" t="n">
        <f aca="false">IF(AND($D146="Elegível",H146&gt;=G146),Parâmetros!$C$10,0)</f>
        <v>0</v>
      </c>
      <c r="L146" s="10" t="n">
        <f aca="false">J146+K146</f>
        <v>2500</v>
      </c>
      <c r="M146" s="10" t="n">
        <v>2500</v>
      </c>
      <c r="N146" s="7" t="str">
        <f aca="false">IF(L146=M146,"OK","DIVERGE")</f>
        <v>OK</v>
      </c>
    </row>
    <row r="147" customFormat="false" ht="15" hidden="false" customHeight="false" outlineLevel="0" collapsed="false">
      <c r="A147" s="7" t="s">
        <v>291</v>
      </c>
      <c r="B147" s="7" t="s">
        <v>123</v>
      </c>
      <c r="C147" s="7" t="s">
        <v>51</v>
      </c>
      <c r="D147" s="7" t="s">
        <v>30</v>
      </c>
      <c r="E147" s="8" t="n">
        <v>13600</v>
      </c>
      <c r="F147" s="8" t="n">
        <v>10719.8</v>
      </c>
      <c r="G147" s="7" t="n">
        <v>40</v>
      </c>
      <c r="H147" s="7" t="n">
        <v>43</v>
      </c>
      <c r="I147" s="9" t="n">
        <f aca="false">IF($D147="Elegível",F147/E147,"")</f>
        <v>0.788220588235294</v>
      </c>
      <c r="J147" s="10" t="n">
        <f aca="false">IF($D147="Elegível",INDEX(Parâmetros!$C$5:$C$8,MATCH(I147,Parâmetros!$B$5:$B$8,1)),0)</f>
        <v>0</v>
      </c>
      <c r="K147" s="10" t="n">
        <f aca="false">IF(AND($D147="Elegível",H147&gt;=G147),Parâmetros!$C$10,0)</f>
        <v>1500</v>
      </c>
      <c r="L147" s="10" t="n">
        <f aca="false">J147+K147</f>
        <v>1500</v>
      </c>
      <c r="M147" s="10" t="n">
        <v>1500</v>
      </c>
      <c r="N147" s="7" t="str">
        <f aca="false">IF(L147=M147,"OK","DIVERGE")</f>
        <v>OK</v>
      </c>
    </row>
    <row r="148" customFormat="false" ht="15" hidden="false" customHeight="false" outlineLevel="0" collapsed="false">
      <c r="A148" s="7" t="s">
        <v>292</v>
      </c>
      <c r="B148" s="7" t="s">
        <v>293</v>
      </c>
      <c r="C148" s="7" t="s">
        <v>51</v>
      </c>
      <c r="D148" s="7" t="s">
        <v>30</v>
      </c>
      <c r="E148" s="8" t="n">
        <v>5800</v>
      </c>
      <c r="F148" s="8" t="n">
        <v>5486.4</v>
      </c>
      <c r="G148" s="7" t="n">
        <v>35</v>
      </c>
      <c r="H148" s="7" t="n">
        <v>30</v>
      </c>
      <c r="I148" s="9" t="n">
        <f aca="false">IF($D148="Elegível",F148/E148,"")</f>
        <v>0.945931034482759</v>
      </c>
      <c r="J148" s="10" t="n">
        <f aca="false">IF($D148="Elegível",INDEX(Parâmetros!$C$5:$C$8,MATCH(I148,Parâmetros!$B$5:$B$8,1)),0)</f>
        <v>1000</v>
      </c>
      <c r="K148" s="10" t="n">
        <f aca="false">IF(AND($D148="Elegível",H148&gt;=G148),Parâmetros!$C$10,0)</f>
        <v>0</v>
      </c>
      <c r="L148" s="10" t="n">
        <f aca="false">J148+K148</f>
        <v>1000</v>
      </c>
      <c r="M148" s="10" t="n">
        <v>1000</v>
      </c>
      <c r="N148" s="7" t="str">
        <f aca="false">IF(L148=M148,"OK","DIVERGE")</f>
        <v>OK</v>
      </c>
    </row>
    <row r="149" customFormat="false" ht="15" hidden="false" customHeight="false" outlineLevel="0" collapsed="false">
      <c r="A149" s="7" t="s">
        <v>294</v>
      </c>
      <c r="B149" s="7" t="s">
        <v>295</v>
      </c>
      <c r="C149" s="7" t="s">
        <v>37</v>
      </c>
      <c r="D149" s="7" t="s">
        <v>30</v>
      </c>
      <c r="E149" s="8" t="n">
        <v>15300</v>
      </c>
      <c r="F149" s="8" t="n">
        <v>12337.7</v>
      </c>
      <c r="G149" s="7" t="n">
        <v>45</v>
      </c>
      <c r="H149" s="7" t="n">
        <v>41</v>
      </c>
      <c r="I149" s="9" t="n">
        <f aca="false">IF($D149="Elegível",F149/E149,"")</f>
        <v>0.806385620915033</v>
      </c>
      <c r="J149" s="10" t="n">
        <f aca="false">IF($D149="Elegível",INDEX(Parâmetros!$C$5:$C$8,MATCH(I149,Parâmetros!$B$5:$B$8,1)),0)</f>
        <v>1000</v>
      </c>
      <c r="K149" s="10" t="n">
        <f aca="false">IF(AND($D149="Elegível",H149&gt;=G149),Parâmetros!$C$10,0)</f>
        <v>0</v>
      </c>
      <c r="L149" s="10" t="n">
        <f aca="false">J149+K149</f>
        <v>1000</v>
      </c>
      <c r="M149" s="10" t="n">
        <v>1000</v>
      </c>
      <c r="N149" s="7" t="str">
        <f aca="false">IF(L149=M149,"OK","DIVERGE")</f>
        <v>OK</v>
      </c>
    </row>
    <row r="150" customFormat="false" ht="15" hidden="false" customHeight="false" outlineLevel="0" collapsed="false">
      <c r="A150" s="7" t="s">
        <v>296</v>
      </c>
      <c r="B150" s="7" t="s">
        <v>297</v>
      </c>
      <c r="C150" s="7" t="s">
        <v>40</v>
      </c>
      <c r="D150" s="7" t="s">
        <v>30</v>
      </c>
      <c r="E150" s="8" t="n">
        <v>13600</v>
      </c>
      <c r="F150" s="8" t="n">
        <v>12299.1</v>
      </c>
      <c r="G150" s="7" t="n">
        <v>35</v>
      </c>
      <c r="H150" s="7" t="n">
        <v>38</v>
      </c>
      <c r="I150" s="9" t="n">
        <f aca="false">IF($D150="Elegível",F150/E150,"")</f>
        <v>0.904345588235294</v>
      </c>
      <c r="J150" s="10" t="n">
        <f aca="false">IF($D150="Elegível",INDEX(Parâmetros!$C$5:$C$8,MATCH(I150,Parâmetros!$B$5:$B$8,1)),0)</f>
        <v>1000</v>
      </c>
      <c r="K150" s="10" t="n">
        <f aca="false">IF(AND($D150="Elegível",H150&gt;=G150),Parâmetros!$C$10,0)</f>
        <v>1500</v>
      </c>
      <c r="L150" s="10" t="n">
        <f aca="false">J150+K150</f>
        <v>2500</v>
      </c>
      <c r="M150" s="10" t="n">
        <v>2500</v>
      </c>
      <c r="N150" s="7" t="str">
        <f aca="false">IF(L150=M150,"OK","DIVERGE")</f>
        <v>OK</v>
      </c>
    </row>
    <row r="151" customFormat="false" ht="15" hidden="false" customHeight="false" outlineLevel="0" collapsed="false">
      <c r="A151" s="7" t="s">
        <v>298</v>
      </c>
      <c r="B151" s="7" t="s">
        <v>299</v>
      </c>
      <c r="C151" s="7" t="s">
        <v>51</v>
      </c>
      <c r="D151" s="7" t="s">
        <v>30</v>
      </c>
      <c r="E151" s="8" t="n">
        <v>5200</v>
      </c>
      <c r="F151" s="8" t="n">
        <v>4629.3</v>
      </c>
      <c r="G151" s="7" t="n">
        <v>25</v>
      </c>
      <c r="H151" s="7" t="n">
        <v>28</v>
      </c>
      <c r="I151" s="9" t="n">
        <f aca="false">IF($D151="Elegível",F151/E151,"")</f>
        <v>0.89025</v>
      </c>
      <c r="J151" s="10" t="n">
        <f aca="false">IF($D151="Elegível",INDEX(Parâmetros!$C$5:$C$8,MATCH(I151,Parâmetros!$B$5:$B$8,1)),0)</f>
        <v>1000</v>
      </c>
      <c r="K151" s="10" t="n">
        <f aca="false">IF(AND($D151="Elegível",H151&gt;=G151),Parâmetros!$C$10,0)</f>
        <v>1500</v>
      </c>
      <c r="L151" s="10" t="n">
        <f aca="false">J151+K151</f>
        <v>2500</v>
      </c>
      <c r="M151" s="10" t="n">
        <v>2500</v>
      </c>
      <c r="N151" s="7" t="str">
        <f aca="false">IF(L151=M151,"OK","DIVERGE")</f>
        <v>OK</v>
      </c>
    </row>
    <row r="152" customFormat="false" ht="15" hidden="false" customHeight="false" outlineLevel="0" collapsed="false">
      <c r="A152" s="7" t="s">
        <v>300</v>
      </c>
      <c r="B152" s="7" t="s">
        <v>195</v>
      </c>
      <c r="C152" s="7" t="s">
        <v>29</v>
      </c>
      <c r="D152" s="7" t="s">
        <v>30</v>
      </c>
      <c r="E152" s="8" t="n">
        <v>3400</v>
      </c>
      <c r="F152" s="8" t="n">
        <v>4216.4</v>
      </c>
      <c r="G152" s="7" t="n">
        <v>25</v>
      </c>
      <c r="H152" s="7" t="n">
        <v>25</v>
      </c>
      <c r="I152" s="9" t="n">
        <f aca="false">IF($D152="Elegível",F152/E152,"")</f>
        <v>1.24011764705882</v>
      </c>
      <c r="J152" s="10" t="n">
        <f aca="false">IF($D152="Elegível",INDEX(Parâmetros!$C$5:$C$8,MATCH(I152,Parâmetros!$B$5:$B$8,1)),0)</f>
        <v>4000</v>
      </c>
      <c r="K152" s="10" t="n">
        <f aca="false">IF(AND($D152="Elegível",H152&gt;=G152),Parâmetros!$C$10,0)</f>
        <v>1500</v>
      </c>
      <c r="L152" s="10" t="n">
        <f aca="false">J152+K152</f>
        <v>5500</v>
      </c>
      <c r="M152" s="10" t="n">
        <v>5500</v>
      </c>
      <c r="N152" s="7" t="str">
        <f aca="false">IF(L152=M152,"OK","DIVERGE")</f>
        <v>OK</v>
      </c>
    </row>
    <row r="153" customFormat="false" ht="15" hidden="false" customHeight="false" outlineLevel="0" collapsed="false">
      <c r="A153" s="7" t="s">
        <v>301</v>
      </c>
      <c r="B153" s="7" t="s">
        <v>239</v>
      </c>
      <c r="C153" s="7" t="s">
        <v>37</v>
      </c>
      <c r="D153" s="7" t="s">
        <v>30</v>
      </c>
      <c r="E153" s="8" t="n">
        <v>15500</v>
      </c>
      <c r="F153" s="8" t="n">
        <v>15829.1</v>
      </c>
      <c r="G153" s="7" t="n">
        <v>50</v>
      </c>
      <c r="H153" s="7" t="n">
        <v>44</v>
      </c>
      <c r="I153" s="9" t="n">
        <f aca="false">IF($D153="Elegível",F153/E153,"")</f>
        <v>1.02123225806452</v>
      </c>
      <c r="J153" s="10" t="n">
        <f aca="false">IF($D153="Elegível",INDEX(Parâmetros!$C$5:$C$8,MATCH(I153,Parâmetros!$B$5:$B$8,1)),0)</f>
        <v>2500</v>
      </c>
      <c r="K153" s="10" t="n">
        <f aca="false">IF(AND($D153="Elegível",H153&gt;=G153),Parâmetros!$C$10,0)</f>
        <v>0</v>
      </c>
      <c r="L153" s="10" t="n">
        <f aca="false">J153+K153</f>
        <v>2500</v>
      </c>
      <c r="M153" s="10" t="n">
        <v>2500</v>
      </c>
      <c r="N153" s="7" t="str">
        <f aca="false">IF(L153=M153,"OK","DIVERGE")</f>
        <v>OK</v>
      </c>
    </row>
    <row r="154" customFormat="false" ht="15" hidden="false" customHeight="false" outlineLevel="0" collapsed="false">
      <c r="A154" s="7" t="s">
        <v>302</v>
      </c>
      <c r="B154" s="7" t="s">
        <v>249</v>
      </c>
      <c r="C154" s="7" t="s">
        <v>40</v>
      </c>
      <c r="D154" s="7" t="s">
        <v>30</v>
      </c>
      <c r="E154" s="8" t="n">
        <v>14900</v>
      </c>
      <c r="F154" s="8" t="n">
        <v>11843.9</v>
      </c>
      <c r="G154" s="7" t="n">
        <v>35</v>
      </c>
      <c r="H154" s="7" t="n">
        <v>35</v>
      </c>
      <c r="I154" s="9" t="n">
        <f aca="false">IF($D154="Elegível",F154/E154,"")</f>
        <v>0.794892617449664</v>
      </c>
      <c r="J154" s="10" t="n">
        <f aca="false">IF($D154="Elegível",INDEX(Parâmetros!$C$5:$C$8,MATCH(I154,Parâmetros!$B$5:$B$8,1)),0)</f>
        <v>0</v>
      </c>
      <c r="K154" s="10" t="n">
        <f aca="false">IF(AND($D154="Elegível",H154&gt;=G154),Parâmetros!$C$10,0)</f>
        <v>1500</v>
      </c>
      <c r="L154" s="10" t="n">
        <f aca="false">J154+K154</f>
        <v>1500</v>
      </c>
      <c r="M154" s="10" t="n">
        <v>1500</v>
      </c>
      <c r="N154" s="7" t="str">
        <f aca="false">IF(L154=M154,"OK","DIVERGE")</f>
        <v>OK</v>
      </c>
    </row>
    <row r="155" customFormat="false" ht="15" hidden="false" customHeight="false" outlineLevel="0" collapsed="false">
      <c r="A155" s="7" t="s">
        <v>303</v>
      </c>
      <c r="B155" s="7" t="s">
        <v>304</v>
      </c>
      <c r="C155" s="7" t="s">
        <v>37</v>
      </c>
      <c r="D155" s="7" t="s">
        <v>30</v>
      </c>
      <c r="E155" s="8" t="n">
        <v>5800</v>
      </c>
      <c r="F155" s="8" t="n">
        <v>6110.8</v>
      </c>
      <c r="G155" s="7" t="n">
        <v>30</v>
      </c>
      <c r="H155" s="7" t="n">
        <v>29</v>
      </c>
      <c r="I155" s="9" t="n">
        <f aca="false">IF($D155="Elegível",F155/E155,"")</f>
        <v>1.05358620689655</v>
      </c>
      <c r="J155" s="10" t="n">
        <f aca="false">IF($D155="Elegível",INDEX(Parâmetros!$C$5:$C$8,MATCH(I155,Parâmetros!$B$5:$B$8,1)),0)</f>
        <v>2500</v>
      </c>
      <c r="K155" s="10" t="n">
        <f aca="false">IF(AND($D155="Elegível",H155&gt;=G155),Parâmetros!$C$10,0)</f>
        <v>0</v>
      </c>
      <c r="L155" s="10" t="n">
        <f aca="false">J155+K155</f>
        <v>2500</v>
      </c>
      <c r="M155" s="10" t="n">
        <v>2500</v>
      </c>
      <c r="N155" s="7" t="str">
        <f aca="false">IF(L155=M155,"OK","DIVERGE")</f>
        <v>OK</v>
      </c>
    </row>
    <row r="156" customFormat="false" ht="15" hidden="false" customHeight="false" outlineLevel="0" collapsed="false">
      <c r="A156" s="7" t="s">
        <v>305</v>
      </c>
      <c r="B156" s="7" t="s">
        <v>306</v>
      </c>
      <c r="C156" s="7" t="s">
        <v>29</v>
      </c>
      <c r="D156" s="7" t="s">
        <v>89</v>
      </c>
      <c r="E156" s="8"/>
      <c r="F156" s="8" t="n">
        <v>10588.4</v>
      </c>
      <c r="G156" s="7"/>
      <c r="H156" s="7" t="n">
        <v>38</v>
      </c>
      <c r="I156" s="9" t="str">
        <f aca="false">IF($D156="Elegível",F156/E156,"")</f>
        <v/>
      </c>
      <c r="J156" s="10" t="n">
        <f aca="false">IF($D156="Elegível",INDEX(Parâmetros!$C$5:$C$8,MATCH(I156,Parâmetros!$B$5:$B$8,1)),0)</f>
        <v>0</v>
      </c>
      <c r="K156" s="10" t="n">
        <f aca="false">IF(AND($D156="Elegível",H156&gt;=G156),Parâmetros!$C$10,0)</f>
        <v>0</v>
      </c>
      <c r="L156" s="10" t="n">
        <f aca="false">J156+K156</f>
        <v>0</v>
      </c>
      <c r="M156" s="10" t="n">
        <v>0</v>
      </c>
      <c r="N156" s="7" t="str">
        <f aca="false">IF(L156=M156,"OK","DIVERGE")</f>
        <v>OK</v>
      </c>
    </row>
    <row r="157" customFormat="false" ht="15" hidden="false" customHeight="false" outlineLevel="0" collapsed="false">
      <c r="A157" s="7" t="s">
        <v>307</v>
      </c>
      <c r="B157" s="7" t="s">
        <v>308</v>
      </c>
      <c r="C157" s="7" t="s">
        <v>33</v>
      </c>
      <c r="D157" s="7" t="s">
        <v>30</v>
      </c>
      <c r="E157" s="8" t="n">
        <v>4200</v>
      </c>
      <c r="F157" s="8" t="n">
        <v>3199.1</v>
      </c>
      <c r="G157" s="7" t="n">
        <v>30</v>
      </c>
      <c r="H157" s="7" t="n">
        <v>25</v>
      </c>
      <c r="I157" s="9" t="n">
        <f aca="false">IF($D157="Elegível",F157/E157,"")</f>
        <v>0.761690476190476</v>
      </c>
      <c r="J157" s="10" t="n">
        <f aca="false">IF($D157="Elegível",INDEX(Parâmetros!$C$5:$C$8,MATCH(I157,Parâmetros!$B$5:$B$8,1)),0)</f>
        <v>0</v>
      </c>
      <c r="K157" s="10" t="n">
        <f aca="false">IF(AND($D157="Elegível",H157&gt;=G157),Parâmetros!$C$10,0)</f>
        <v>0</v>
      </c>
      <c r="L157" s="10" t="n">
        <f aca="false">J157+K157</f>
        <v>0</v>
      </c>
      <c r="M157" s="10" t="n">
        <v>0</v>
      </c>
      <c r="N157" s="7" t="str">
        <f aca="false">IF(L157=M157,"OK","DIVERGE")</f>
        <v>OK</v>
      </c>
    </row>
    <row r="158" customFormat="false" ht="15" hidden="false" customHeight="false" outlineLevel="0" collapsed="false">
      <c r="A158" s="7" t="s">
        <v>309</v>
      </c>
      <c r="B158" s="7" t="s">
        <v>259</v>
      </c>
      <c r="C158" s="7" t="s">
        <v>40</v>
      </c>
      <c r="D158" s="7" t="s">
        <v>30</v>
      </c>
      <c r="E158" s="8" t="n">
        <v>9300</v>
      </c>
      <c r="F158" s="8" t="n">
        <v>9823.4</v>
      </c>
      <c r="G158" s="7" t="n">
        <v>35</v>
      </c>
      <c r="H158" s="7" t="n">
        <v>33</v>
      </c>
      <c r="I158" s="9" t="n">
        <f aca="false">IF($D158="Elegível",F158/E158,"")</f>
        <v>1.05627956989247</v>
      </c>
      <c r="J158" s="10" t="n">
        <f aca="false">IF($D158="Elegível",INDEX(Parâmetros!$C$5:$C$8,MATCH(I158,Parâmetros!$B$5:$B$8,1)),0)</f>
        <v>2500</v>
      </c>
      <c r="K158" s="10" t="n">
        <f aca="false">IF(AND($D158="Elegível",H158&gt;=G158),Parâmetros!$C$10,0)</f>
        <v>0</v>
      </c>
      <c r="L158" s="10" t="n">
        <f aca="false">J158+K158</f>
        <v>2500</v>
      </c>
      <c r="M158" s="10" t="n">
        <v>2500</v>
      </c>
      <c r="N158" s="7" t="str">
        <f aca="false">IF(L158=M158,"OK","DIVERGE")</f>
        <v>OK</v>
      </c>
    </row>
    <row r="159" customFormat="false" ht="15" hidden="false" customHeight="false" outlineLevel="0" collapsed="false">
      <c r="A159" s="7" t="s">
        <v>310</v>
      </c>
      <c r="B159" s="7" t="s">
        <v>311</v>
      </c>
      <c r="C159" s="7" t="s">
        <v>33</v>
      </c>
      <c r="D159" s="7" t="s">
        <v>30</v>
      </c>
      <c r="E159" s="8" t="n">
        <v>2700</v>
      </c>
      <c r="F159" s="8" t="n">
        <v>3117.6</v>
      </c>
      <c r="G159" s="7" t="n">
        <v>30</v>
      </c>
      <c r="H159" s="7" t="n">
        <v>26</v>
      </c>
      <c r="I159" s="9" t="n">
        <f aca="false">IF($D159="Elegível",F159/E159,"")</f>
        <v>1.15466666666667</v>
      </c>
      <c r="J159" s="10" t="n">
        <f aca="false">IF($D159="Elegível",INDEX(Parâmetros!$C$5:$C$8,MATCH(I159,Parâmetros!$B$5:$B$8,1)),0)</f>
        <v>2500</v>
      </c>
      <c r="K159" s="10" t="n">
        <f aca="false">IF(AND($D159="Elegível",H159&gt;=G159),Parâmetros!$C$10,0)</f>
        <v>0</v>
      </c>
      <c r="L159" s="10" t="n">
        <f aca="false">J159+K159</f>
        <v>2500</v>
      </c>
      <c r="M159" s="10" t="n">
        <v>2500</v>
      </c>
      <c r="N159" s="7" t="str">
        <f aca="false">IF(L159=M159,"OK","DIVERGE")</f>
        <v>OK</v>
      </c>
    </row>
    <row r="160" customFormat="false" ht="15" hidden="false" customHeight="false" outlineLevel="0" collapsed="false">
      <c r="A160" s="7" t="s">
        <v>312</v>
      </c>
      <c r="B160" s="7" t="s">
        <v>313</v>
      </c>
      <c r="C160" s="7" t="s">
        <v>51</v>
      </c>
      <c r="D160" s="7" t="s">
        <v>30</v>
      </c>
      <c r="E160" s="8" t="n">
        <v>4900</v>
      </c>
      <c r="F160" s="8" t="n">
        <v>5083.9</v>
      </c>
      <c r="G160" s="7" t="n">
        <v>35</v>
      </c>
      <c r="H160" s="7" t="n">
        <v>31</v>
      </c>
      <c r="I160" s="9" t="n">
        <f aca="false">IF($D160="Elegível",F160/E160,"")</f>
        <v>1.0375306122449</v>
      </c>
      <c r="J160" s="10" t="n">
        <f aca="false">IF($D160="Elegível",INDEX(Parâmetros!$C$5:$C$8,MATCH(I160,Parâmetros!$B$5:$B$8,1)),0)</f>
        <v>2500</v>
      </c>
      <c r="K160" s="10" t="n">
        <f aca="false">IF(AND($D160="Elegível",H160&gt;=G160),Parâmetros!$C$10,0)</f>
        <v>0</v>
      </c>
      <c r="L160" s="10" t="n">
        <f aca="false">J160+K160</f>
        <v>2500</v>
      </c>
      <c r="M160" s="10" t="n">
        <v>2500</v>
      </c>
      <c r="N160" s="7" t="str">
        <f aca="false">IF(L160=M160,"OK","DIVERGE")</f>
        <v>OK</v>
      </c>
    </row>
    <row r="161" customFormat="false" ht="15" hidden="false" customHeight="false" outlineLevel="0" collapsed="false">
      <c r="A161" s="7" t="s">
        <v>314</v>
      </c>
      <c r="B161" s="7" t="s">
        <v>315</v>
      </c>
      <c r="C161" s="7" t="s">
        <v>37</v>
      </c>
      <c r="D161" s="7" t="s">
        <v>30</v>
      </c>
      <c r="E161" s="8" t="n">
        <v>8100</v>
      </c>
      <c r="F161" s="8" t="n">
        <v>9623.5</v>
      </c>
      <c r="G161" s="7" t="n">
        <v>30</v>
      </c>
      <c r="H161" s="7" t="n">
        <v>34</v>
      </c>
      <c r="I161" s="9" t="n">
        <f aca="false">IF($D161="Elegível",F161/E161,"")</f>
        <v>1.18808641975309</v>
      </c>
      <c r="J161" s="10" t="n">
        <f aca="false">IF($D161="Elegível",INDEX(Parâmetros!$C$5:$C$8,MATCH(I161,Parâmetros!$B$5:$B$8,1)),0)</f>
        <v>2500</v>
      </c>
      <c r="K161" s="10" t="n">
        <f aca="false">IF(AND($D161="Elegível",H161&gt;=G161),Parâmetros!$C$10,0)</f>
        <v>1500</v>
      </c>
      <c r="L161" s="10" t="n">
        <f aca="false">J161+K161</f>
        <v>4000</v>
      </c>
      <c r="M161" s="10" t="n">
        <v>4000</v>
      </c>
      <c r="N161" s="7" t="str">
        <f aca="false">IF(L161=M161,"OK","DIVERGE")</f>
        <v>OK</v>
      </c>
    </row>
    <row r="162" customFormat="false" ht="15" hidden="false" customHeight="false" outlineLevel="0" collapsed="false">
      <c r="A162" s="7" t="s">
        <v>316</v>
      </c>
      <c r="B162" s="7" t="s">
        <v>317</v>
      </c>
      <c r="C162" s="7" t="s">
        <v>33</v>
      </c>
      <c r="D162" s="7" t="s">
        <v>30</v>
      </c>
      <c r="E162" s="8" t="n">
        <v>5700</v>
      </c>
      <c r="F162" s="8" t="n">
        <v>6516.4</v>
      </c>
      <c r="G162" s="7" t="n">
        <v>30</v>
      </c>
      <c r="H162" s="7" t="n">
        <v>33</v>
      </c>
      <c r="I162" s="9" t="n">
        <f aca="false">IF($D162="Elegível",F162/E162,"")</f>
        <v>1.14322807017544</v>
      </c>
      <c r="J162" s="10" t="n">
        <f aca="false">IF($D162="Elegível",INDEX(Parâmetros!$C$5:$C$8,MATCH(I162,Parâmetros!$B$5:$B$8,1)),0)</f>
        <v>2500</v>
      </c>
      <c r="K162" s="10" t="n">
        <f aca="false">IF(AND($D162="Elegível",H162&gt;=G162),Parâmetros!$C$10,0)</f>
        <v>1500</v>
      </c>
      <c r="L162" s="10" t="n">
        <f aca="false">J162+K162</f>
        <v>4000</v>
      </c>
      <c r="M162" s="10" t="n">
        <v>4000</v>
      </c>
      <c r="N162" s="7" t="str">
        <f aca="false">IF(L162=M162,"OK","DIVERGE")</f>
        <v>OK</v>
      </c>
    </row>
    <row r="163" customFormat="false" ht="15" hidden="false" customHeight="false" outlineLevel="0" collapsed="false">
      <c r="A163" s="7" t="s">
        <v>318</v>
      </c>
      <c r="B163" s="7" t="s">
        <v>319</v>
      </c>
      <c r="C163" s="7" t="s">
        <v>40</v>
      </c>
      <c r="D163" s="7" t="s">
        <v>30</v>
      </c>
      <c r="E163" s="8" t="n">
        <v>2600</v>
      </c>
      <c r="F163" s="8" t="n">
        <v>3176.4</v>
      </c>
      <c r="G163" s="7" t="n">
        <v>20</v>
      </c>
      <c r="H163" s="7" t="n">
        <v>23</v>
      </c>
      <c r="I163" s="9" t="n">
        <f aca="false">IF($D163="Elegível",F163/E163,"")</f>
        <v>1.22169230769231</v>
      </c>
      <c r="J163" s="10" t="n">
        <f aca="false">IF($D163="Elegível",INDEX(Parâmetros!$C$5:$C$8,MATCH(I163,Parâmetros!$B$5:$B$8,1)),0)</f>
        <v>4000</v>
      </c>
      <c r="K163" s="10" t="n">
        <f aca="false">IF(AND($D163="Elegível",H163&gt;=G163),Parâmetros!$C$10,0)</f>
        <v>1500</v>
      </c>
      <c r="L163" s="10" t="n">
        <f aca="false">J163+K163</f>
        <v>5500</v>
      </c>
      <c r="M163" s="10" t="n">
        <v>5500</v>
      </c>
      <c r="N163" s="7" t="str">
        <f aca="false">IF(L163=M163,"OK","DIVERGE")</f>
        <v>OK</v>
      </c>
    </row>
    <row r="164" customFormat="false" ht="15" hidden="false" customHeight="false" outlineLevel="0" collapsed="false">
      <c r="A164" s="7" t="s">
        <v>320</v>
      </c>
      <c r="B164" s="7" t="s">
        <v>321</v>
      </c>
      <c r="C164" s="7" t="s">
        <v>40</v>
      </c>
      <c r="D164" s="7" t="s">
        <v>30</v>
      </c>
      <c r="E164" s="8" t="n">
        <v>5200</v>
      </c>
      <c r="F164" s="8" t="n">
        <v>5443.1</v>
      </c>
      <c r="G164" s="7" t="n">
        <v>35</v>
      </c>
      <c r="H164" s="7" t="n">
        <v>33</v>
      </c>
      <c r="I164" s="9" t="n">
        <f aca="false">IF($D164="Elegível",F164/E164,"")</f>
        <v>1.04675</v>
      </c>
      <c r="J164" s="10" t="n">
        <f aca="false">IF($D164="Elegível",INDEX(Parâmetros!$C$5:$C$8,MATCH(I164,Parâmetros!$B$5:$B$8,1)),0)</f>
        <v>2500</v>
      </c>
      <c r="K164" s="10" t="n">
        <f aca="false">IF(AND($D164="Elegível",H164&gt;=G164),Parâmetros!$C$10,0)</f>
        <v>0</v>
      </c>
      <c r="L164" s="10" t="n">
        <f aca="false">J164+K164</f>
        <v>2500</v>
      </c>
      <c r="M164" s="10" t="n">
        <v>2500</v>
      </c>
      <c r="N164" s="7" t="str">
        <f aca="false">IF(L164=M164,"OK","DIVERGE")</f>
        <v>OK</v>
      </c>
    </row>
    <row r="165" customFormat="false" ht="15" hidden="false" customHeight="false" outlineLevel="0" collapsed="false">
      <c r="A165" s="7" t="s">
        <v>322</v>
      </c>
      <c r="B165" s="7" t="s">
        <v>276</v>
      </c>
      <c r="C165" s="7" t="s">
        <v>51</v>
      </c>
      <c r="D165" s="7" t="s">
        <v>30</v>
      </c>
      <c r="E165" s="8" t="n">
        <v>2700</v>
      </c>
      <c r="F165" s="8" t="n">
        <v>3005.7</v>
      </c>
      <c r="G165" s="7" t="n">
        <v>20</v>
      </c>
      <c r="H165" s="7" t="n">
        <v>22</v>
      </c>
      <c r="I165" s="9" t="n">
        <f aca="false">IF($D165="Elegível",F165/E165,"")</f>
        <v>1.11322222222222</v>
      </c>
      <c r="J165" s="10" t="n">
        <f aca="false">IF($D165="Elegível",INDEX(Parâmetros!$C$5:$C$8,MATCH(I165,Parâmetros!$B$5:$B$8,1)),0)</f>
        <v>2500</v>
      </c>
      <c r="K165" s="10" t="n">
        <f aca="false">IF(AND($D165="Elegível",H165&gt;=G165),Parâmetros!$C$10,0)</f>
        <v>1500</v>
      </c>
      <c r="L165" s="10" t="n">
        <f aca="false">J165+K165</f>
        <v>4000</v>
      </c>
      <c r="M165" s="10" t="n">
        <v>4000</v>
      </c>
      <c r="N165" s="7" t="str">
        <f aca="false">IF(L165=M165,"OK","DIVERGE")</f>
        <v>OK</v>
      </c>
    </row>
    <row r="166" customFormat="false" ht="15" hidden="false" customHeight="false" outlineLevel="0" collapsed="false">
      <c r="A166" s="7" t="s">
        <v>323</v>
      </c>
      <c r="B166" s="7" t="s">
        <v>324</v>
      </c>
      <c r="C166" s="7" t="s">
        <v>33</v>
      </c>
      <c r="D166" s="7" t="s">
        <v>30</v>
      </c>
      <c r="E166" s="8" t="n">
        <v>5900</v>
      </c>
      <c r="F166" s="8" t="n">
        <v>6670.8</v>
      </c>
      <c r="G166" s="7" t="n">
        <v>35</v>
      </c>
      <c r="H166" s="7" t="n">
        <v>31</v>
      </c>
      <c r="I166" s="9" t="n">
        <f aca="false">IF($D166="Elegível",F166/E166,"")</f>
        <v>1.13064406779661</v>
      </c>
      <c r="J166" s="10" t="n">
        <f aca="false">IF($D166="Elegível",INDEX(Parâmetros!$C$5:$C$8,MATCH(I166,Parâmetros!$B$5:$B$8,1)),0)</f>
        <v>2500</v>
      </c>
      <c r="K166" s="10" t="n">
        <f aca="false">IF(AND($D166="Elegível",H166&gt;=G166),Parâmetros!$C$10,0)</f>
        <v>0</v>
      </c>
      <c r="L166" s="10" t="n">
        <f aca="false">J166+K166</f>
        <v>2500</v>
      </c>
      <c r="M166" s="10" t="n">
        <v>2500</v>
      </c>
      <c r="N166" s="7" t="str">
        <f aca="false">IF(L166=M166,"OK","DIVERGE")</f>
        <v>OK</v>
      </c>
    </row>
    <row r="167" customFormat="false" ht="15" hidden="false" customHeight="false" outlineLevel="0" collapsed="false">
      <c r="A167" s="7" t="s">
        <v>325</v>
      </c>
      <c r="B167" s="7" t="s">
        <v>184</v>
      </c>
      <c r="C167" s="7" t="s">
        <v>37</v>
      </c>
      <c r="D167" s="7" t="s">
        <v>30</v>
      </c>
      <c r="E167" s="8" t="n">
        <v>3000</v>
      </c>
      <c r="F167" s="8" t="n">
        <v>3595.2</v>
      </c>
      <c r="G167" s="7" t="n">
        <v>30</v>
      </c>
      <c r="H167" s="7" t="n">
        <v>26</v>
      </c>
      <c r="I167" s="9" t="n">
        <f aca="false">IF($D167="Elegível",F167/E167,"")</f>
        <v>1.1984</v>
      </c>
      <c r="J167" s="10" t="n">
        <f aca="false">IF($D167="Elegível",INDEX(Parâmetros!$C$5:$C$8,MATCH(I167,Parâmetros!$B$5:$B$8,1)),0)</f>
        <v>2500</v>
      </c>
      <c r="K167" s="10" t="n">
        <f aca="false">IF(AND($D167="Elegível",H167&gt;=G167),Parâmetros!$C$10,0)</f>
        <v>0</v>
      </c>
      <c r="L167" s="10" t="n">
        <f aca="false">J167+K167</f>
        <v>2500</v>
      </c>
      <c r="M167" s="10" t="n">
        <v>2500</v>
      </c>
      <c r="N167" s="7" t="str">
        <f aca="false">IF(L167=M167,"OK","DIVERGE")</f>
        <v>OK</v>
      </c>
    </row>
    <row r="168" customFormat="false" ht="15" hidden="false" customHeight="false" outlineLevel="0" collapsed="false">
      <c r="A168" s="7" t="s">
        <v>326</v>
      </c>
      <c r="B168" s="7" t="s">
        <v>204</v>
      </c>
      <c r="C168" s="7" t="s">
        <v>51</v>
      </c>
      <c r="D168" s="7" t="s">
        <v>30</v>
      </c>
      <c r="E168" s="8" t="n">
        <v>1800</v>
      </c>
      <c r="F168" s="8" t="n">
        <v>2126.5</v>
      </c>
      <c r="G168" s="7" t="n">
        <v>25</v>
      </c>
      <c r="H168" s="7" t="n">
        <v>24</v>
      </c>
      <c r="I168" s="9" t="n">
        <f aca="false">IF($D168="Elegível",F168/E168,"")</f>
        <v>1.18138888888889</v>
      </c>
      <c r="J168" s="10" t="n">
        <f aca="false">IF($D168="Elegível",INDEX(Parâmetros!$C$5:$C$8,MATCH(I168,Parâmetros!$B$5:$B$8,1)),0)</f>
        <v>2500</v>
      </c>
      <c r="K168" s="10" t="n">
        <f aca="false">IF(AND($D168="Elegível",H168&gt;=G168),Parâmetros!$C$10,0)</f>
        <v>0</v>
      </c>
      <c r="L168" s="10" t="n">
        <f aca="false">J168+K168</f>
        <v>2500</v>
      </c>
      <c r="M168" s="10" t="n">
        <v>2500</v>
      </c>
      <c r="N168" s="7" t="str">
        <f aca="false">IF(L168=M168,"OK","DIVERGE")</f>
        <v>OK</v>
      </c>
    </row>
    <row r="169" customFormat="false" ht="15" hidden="false" customHeight="false" outlineLevel="0" collapsed="false">
      <c r="A169" s="7" t="s">
        <v>327</v>
      </c>
      <c r="B169" s="7" t="s">
        <v>184</v>
      </c>
      <c r="C169" s="7" t="s">
        <v>40</v>
      </c>
      <c r="D169" s="7" t="s">
        <v>30</v>
      </c>
      <c r="E169" s="8" t="n">
        <v>8600</v>
      </c>
      <c r="F169" s="8" t="n">
        <v>6882.7</v>
      </c>
      <c r="G169" s="7" t="n">
        <v>40</v>
      </c>
      <c r="H169" s="7" t="n">
        <v>36</v>
      </c>
      <c r="I169" s="9" t="n">
        <f aca="false">IF($D169="Elegível",F169/E169,"")</f>
        <v>0.800313953488372</v>
      </c>
      <c r="J169" s="10" t="n">
        <f aca="false">IF($D169="Elegível",INDEX(Parâmetros!$C$5:$C$8,MATCH(I169,Parâmetros!$B$5:$B$8,1)),0)</f>
        <v>1000</v>
      </c>
      <c r="K169" s="10" t="n">
        <f aca="false">IF(AND($D169="Elegível",H169&gt;=G169),Parâmetros!$C$10,0)</f>
        <v>0</v>
      </c>
      <c r="L169" s="10" t="n">
        <f aca="false">J169+K169</f>
        <v>1000</v>
      </c>
      <c r="M169" s="10" t="n">
        <v>1000</v>
      </c>
      <c r="N169" s="7" t="str">
        <f aca="false">IF(L169=M169,"OK","DIVERGE")</f>
        <v>OK</v>
      </c>
    </row>
    <row r="170" customFormat="false" ht="15" hidden="false" customHeight="false" outlineLevel="0" collapsed="false">
      <c r="A170" s="7" t="s">
        <v>328</v>
      </c>
      <c r="B170" s="7" t="s">
        <v>329</v>
      </c>
      <c r="C170" s="7" t="s">
        <v>51</v>
      </c>
      <c r="D170" s="7" t="s">
        <v>89</v>
      </c>
      <c r="E170" s="8"/>
      <c r="F170" s="8" t="n">
        <v>6739.3</v>
      </c>
      <c r="G170" s="7"/>
      <c r="H170" s="7" t="n">
        <v>33</v>
      </c>
      <c r="I170" s="9" t="str">
        <f aca="false">IF($D170="Elegível",F170/E170,"")</f>
        <v/>
      </c>
      <c r="J170" s="10" t="n">
        <f aca="false">IF($D170="Elegível",INDEX(Parâmetros!$C$5:$C$8,MATCH(I170,Parâmetros!$B$5:$B$8,1)),0)</f>
        <v>0</v>
      </c>
      <c r="K170" s="10" t="n">
        <f aca="false">IF(AND($D170="Elegível",H170&gt;=G170),Parâmetros!$C$10,0)</f>
        <v>0</v>
      </c>
      <c r="L170" s="10" t="n">
        <f aca="false">J170+K170</f>
        <v>0</v>
      </c>
      <c r="M170" s="10" t="n">
        <v>0</v>
      </c>
      <c r="N170" s="7" t="str">
        <f aca="false">IF(L170=M170,"OK","DIVERGE")</f>
        <v>OK</v>
      </c>
    </row>
    <row r="171" customFormat="false" ht="15" hidden="false" customHeight="false" outlineLevel="0" collapsed="false">
      <c r="A171" s="7" t="s">
        <v>330</v>
      </c>
      <c r="B171" s="7" t="s">
        <v>331</v>
      </c>
      <c r="C171" s="7" t="s">
        <v>33</v>
      </c>
      <c r="D171" s="7" t="s">
        <v>30</v>
      </c>
      <c r="E171" s="8" t="n">
        <v>7600</v>
      </c>
      <c r="F171" s="8" t="n">
        <v>6913.3</v>
      </c>
      <c r="G171" s="7" t="n">
        <v>35</v>
      </c>
      <c r="H171" s="7" t="n">
        <v>33</v>
      </c>
      <c r="I171" s="9" t="n">
        <f aca="false">IF($D171="Elegível",F171/E171,"")</f>
        <v>0.909644736842105</v>
      </c>
      <c r="J171" s="10" t="n">
        <f aca="false">IF($D171="Elegível",INDEX(Parâmetros!$C$5:$C$8,MATCH(I171,Parâmetros!$B$5:$B$8,1)),0)</f>
        <v>1000</v>
      </c>
      <c r="K171" s="10" t="n">
        <f aca="false">IF(AND($D171="Elegível",H171&gt;=G171),Parâmetros!$C$10,0)</f>
        <v>0</v>
      </c>
      <c r="L171" s="10" t="n">
        <f aca="false">J171+K171</f>
        <v>1000</v>
      </c>
      <c r="M171" s="10" t="n">
        <v>1000</v>
      </c>
      <c r="N171" s="7" t="str">
        <f aca="false">IF(L171=M171,"OK","DIVERGE")</f>
        <v>OK</v>
      </c>
    </row>
    <row r="172" customFormat="false" ht="15" hidden="false" customHeight="false" outlineLevel="0" collapsed="false">
      <c r="A172" s="7" t="s">
        <v>332</v>
      </c>
      <c r="B172" s="7" t="s">
        <v>333</v>
      </c>
      <c r="C172" s="7" t="s">
        <v>29</v>
      </c>
      <c r="D172" s="7" t="s">
        <v>30</v>
      </c>
      <c r="E172" s="8" t="n">
        <v>4900</v>
      </c>
      <c r="F172" s="8" t="n">
        <v>5885</v>
      </c>
      <c r="G172" s="7" t="n">
        <v>35</v>
      </c>
      <c r="H172" s="7" t="n">
        <v>35</v>
      </c>
      <c r="I172" s="9" t="n">
        <f aca="false">IF($D172="Elegível",F172/E172,"")</f>
        <v>1.20102040816327</v>
      </c>
      <c r="J172" s="10" t="n">
        <f aca="false">IF($D172="Elegível",INDEX(Parâmetros!$C$5:$C$8,MATCH(I172,Parâmetros!$B$5:$B$8,1)),0)</f>
        <v>4000</v>
      </c>
      <c r="K172" s="10" t="n">
        <f aca="false">IF(AND($D172="Elegível",H172&gt;=G172),Parâmetros!$C$10,0)</f>
        <v>1500</v>
      </c>
      <c r="L172" s="10" t="n">
        <f aca="false">J172+K172</f>
        <v>5500</v>
      </c>
      <c r="M172" s="10" t="n">
        <v>5500</v>
      </c>
      <c r="N172" s="7" t="str">
        <f aca="false">IF(L172=M172,"OK","DIVERGE")</f>
        <v>OK</v>
      </c>
    </row>
    <row r="173" customFormat="false" ht="15" hidden="false" customHeight="false" outlineLevel="0" collapsed="false">
      <c r="A173" s="7" t="s">
        <v>334</v>
      </c>
      <c r="B173" s="7" t="s">
        <v>335</v>
      </c>
      <c r="C173" s="7" t="s">
        <v>40</v>
      </c>
      <c r="D173" s="7" t="s">
        <v>30</v>
      </c>
      <c r="E173" s="8" t="n">
        <v>2300</v>
      </c>
      <c r="F173" s="8" t="n">
        <v>2350.1</v>
      </c>
      <c r="G173" s="7" t="n">
        <v>20</v>
      </c>
      <c r="H173" s="7" t="n">
        <v>21</v>
      </c>
      <c r="I173" s="9" t="n">
        <f aca="false">IF($D173="Elegível",F173/E173,"")</f>
        <v>1.02178260869565</v>
      </c>
      <c r="J173" s="10" t="n">
        <f aca="false">IF($D173="Elegível",INDEX(Parâmetros!$C$5:$C$8,MATCH(I173,Parâmetros!$B$5:$B$8,1)),0)</f>
        <v>2500</v>
      </c>
      <c r="K173" s="10" t="n">
        <f aca="false">IF(AND($D173="Elegível",H173&gt;=G173),Parâmetros!$C$10,0)</f>
        <v>1500</v>
      </c>
      <c r="L173" s="10" t="n">
        <f aca="false">J173+K173</f>
        <v>4000</v>
      </c>
      <c r="M173" s="10" t="n">
        <v>4000</v>
      </c>
      <c r="N173" s="7" t="str">
        <f aca="false">IF(L173=M173,"OK","DIVERGE")</f>
        <v>OK</v>
      </c>
    </row>
    <row r="174" customFormat="false" ht="15" hidden="false" customHeight="false" outlineLevel="0" collapsed="false">
      <c r="A174" s="7" t="s">
        <v>336</v>
      </c>
      <c r="B174" s="7" t="s">
        <v>337</v>
      </c>
      <c r="C174" s="7" t="s">
        <v>37</v>
      </c>
      <c r="D174" s="7" t="s">
        <v>30</v>
      </c>
      <c r="E174" s="8" t="n">
        <v>8900</v>
      </c>
      <c r="F174" s="8" t="n">
        <v>8445.4</v>
      </c>
      <c r="G174" s="7" t="n">
        <v>35</v>
      </c>
      <c r="H174" s="7" t="n">
        <v>36</v>
      </c>
      <c r="I174" s="9" t="n">
        <f aca="false">IF($D174="Elegível",F174/E174,"")</f>
        <v>0.948921348314607</v>
      </c>
      <c r="J174" s="10" t="n">
        <f aca="false">IF($D174="Elegível",INDEX(Parâmetros!$C$5:$C$8,MATCH(I174,Parâmetros!$B$5:$B$8,1)),0)</f>
        <v>1000</v>
      </c>
      <c r="K174" s="10" t="n">
        <f aca="false">IF(AND($D174="Elegível",H174&gt;=G174),Parâmetros!$C$10,0)</f>
        <v>1500</v>
      </c>
      <c r="L174" s="10" t="n">
        <f aca="false">J174+K174</f>
        <v>2500</v>
      </c>
      <c r="M174" s="10" t="n">
        <v>2500</v>
      </c>
      <c r="N174" s="7" t="str">
        <f aca="false">IF(L174=M174,"OK","DIVERGE")</f>
        <v>OK</v>
      </c>
    </row>
    <row r="175" customFormat="false" ht="15" hidden="false" customHeight="false" outlineLevel="0" collapsed="false">
      <c r="A175" s="7" t="s">
        <v>338</v>
      </c>
      <c r="B175" s="7" t="s">
        <v>339</v>
      </c>
      <c r="C175" s="7" t="s">
        <v>37</v>
      </c>
      <c r="D175" s="7" t="s">
        <v>30</v>
      </c>
      <c r="E175" s="8" t="n">
        <v>11300</v>
      </c>
      <c r="F175" s="8" t="n">
        <v>10146.9</v>
      </c>
      <c r="G175" s="7" t="n">
        <v>40</v>
      </c>
      <c r="H175" s="7" t="n">
        <v>39</v>
      </c>
      <c r="I175" s="9" t="n">
        <f aca="false">IF($D175="Elegível",F175/E175,"")</f>
        <v>0.897955752212389</v>
      </c>
      <c r="J175" s="10" t="n">
        <f aca="false">IF($D175="Elegível",INDEX(Parâmetros!$C$5:$C$8,MATCH(I175,Parâmetros!$B$5:$B$8,1)),0)</f>
        <v>1000</v>
      </c>
      <c r="K175" s="10" t="n">
        <f aca="false">IF(AND($D175="Elegível",H175&gt;=G175),Parâmetros!$C$10,0)</f>
        <v>0</v>
      </c>
      <c r="L175" s="10" t="n">
        <f aca="false">J175+K175</f>
        <v>1000</v>
      </c>
      <c r="M175" s="10" t="n">
        <v>1000</v>
      </c>
      <c r="N175" s="7" t="str">
        <f aca="false">IF(L175=M175,"OK","DIVERGE")</f>
        <v>OK</v>
      </c>
    </row>
    <row r="176" customFormat="false" ht="15" hidden="false" customHeight="false" outlineLevel="0" collapsed="false">
      <c r="A176" s="7" t="s">
        <v>340</v>
      </c>
      <c r="B176" s="7" t="s">
        <v>341</v>
      </c>
      <c r="C176" s="7" t="s">
        <v>40</v>
      </c>
      <c r="D176" s="7" t="s">
        <v>30</v>
      </c>
      <c r="E176" s="8" t="n">
        <v>12900</v>
      </c>
      <c r="F176" s="8" t="n">
        <v>10062.9</v>
      </c>
      <c r="G176" s="7" t="n">
        <v>40</v>
      </c>
      <c r="H176" s="7" t="n">
        <v>39</v>
      </c>
      <c r="I176" s="9" t="n">
        <f aca="false">IF($D176="Elegível",F176/E176,"")</f>
        <v>0.78006976744186</v>
      </c>
      <c r="J176" s="10" t="n">
        <f aca="false">IF($D176="Elegível",INDEX(Parâmetros!$C$5:$C$8,MATCH(I176,Parâmetros!$B$5:$B$8,1)),0)</f>
        <v>0</v>
      </c>
      <c r="K176" s="10" t="n">
        <f aca="false">IF(AND($D176="Elegível",H176&gt;=G176),Parâmetros!$C$10,0)</f>
        <v>0</v>
      </c>
      <c r="L176" s="10" t="n">
        <f aca="false">J176+K176</f>
        <v>0</v>
      </c>
      <c r="M176" s="10" t="n">
        <v>0</v>
      </c>
      <c r="N176" s="7" t="str">
        <f aca="false">IF(L176=M176,"OK","DIVERGE")</f>
        <v>OK</v>
      </c>
    </row>
    <row r="177" customFormat="false" ht="15" hidden="false" customHeight="false" outlineLevel="0" collapsed="false">
      <c r="A177" s="7" t="s">
        <v>342</v>
      </c>
      <c r="B177" s="7" t="s">
        <v>134</v>
      </c>
      <c r="C177" s="7" t="s">
        <v>40</v>
      </c>
      <c r="D177" s="7" t="s">
        <v>30</v>
      </c>
      <c r="E177" s="8" t="n">
        <v>9600</v>
      </c>
      <c r="F177" s="8" t="n">
        <v>9266.9</v>
      </c>
      <c r="G177" s="7" t="n">
        <v>45</v>
      </c>
      <c r="H177" s="7" t="n">
        <v>39</v>
      </c>
      <c r="I177" s="9" t="n">
        <f aca="false">IF($D177="Elegível",F177/E177,"")</f>
        <v>0.965302083333333</v>
      </c>
      <c r="J177" s="10" t="n">
        <f aca="false">IF($D177="Elegível",INDEX(Parâmetros!$C$5:$C$8,MATCH(I177,Parâmetros!$B$5:$B$8,1)),0)</f>
        <v>1000</v>
      </c>
      <c r="K177" s="10" t="n">
        <f aca="false">IF(AND($D177="Elegível",H177&gt;=G177),Parâmetros!$C$10,0)</f>
        <v>0</v>
      </c>
      <c r="L177" s="10" t="n">
        <f aca="false">J177+K177</f>
        <v>1000</v>
      </c>
      <c r="M177" s="10" t="n">
        <v>1000</v>
      </c>
      <c r="N177" s="7" t="str">
        <f aca="false">IF(L177=M177,"OK","DIVERGE")</f>
        <v>OK</v>
      </c>
    </row>
    <row r="178" customFormat="false" ht="15" hidden="false" customHeight="false" outlineLevel="0" collapsed="false">
      <c r="A178" s="7" t="s">
        <v>343</v>
      </c>
      <c r="B178" s="7" t="s">
        <v>268</v>
      </c>
      <c r="C178" s="7" t="s">
        <v>40</v>
      </c>
      <c r="D178" s="7" t="s">
        <v>30</v>
      </c>
      <c r="E178" s="8" t="n">
        <v>4100</v>
      </c>
      <c r="F178" s="8" t="n">
        <v>4281.4</v>
      </c>
      <c r="G178" s="7" t="n">
        <v>30</v>
      </c>
      <c r="H178" s="7" t="n">
        <v>27</v>
      </c>
      <c r="I178" s="9" t="n">
        <f aca="false">IF($D178="Elegível",F178/E178,"")</f>
        <v>1.04424390243902</v>
      </c>
      <c r="J178" s="10" t="n">
        <f aca="false">IF($D178="Elegível",INDEX(Parâmetros!$C$5:$C$8,MATCH(I178,Parâmetros!$B$5:$B$8,1)),0)</f>
        <v>2500</v>
      </c>
      <c r="K178" s="10" t="n">
        <f aca="false">IF(AND($D178="Elegível",H178&gt;=G178),Parâmetros!$C$10,0)</f>
        <v>0</v>
      </c>
      <c r="L178" s="10" t="n">
        <f aca="false">J178+K178</f>
        <v>2500</v>
      </c>
      <c r="M178" s="10" t="n">
        <v>2500</v>
      </c>
      <c r="N178" s="7" t="str">
        <f aca="false">IF(L178=M178,"OK","DIVERGE")</f>
        <v>OK</v>
      </c>
    </row>
    <row r="179" customFormat="false" ht="15" hidden="false" customHeight="false" outlineLevel="0" collapsed="false">
      <c r="A179" s="7" t="s">
        <v>344</v>
      </c>
      <c r="B179" s="7" t="s">
        <v>345</v>
      </c>
      <c r="C179" s="7" t="s">
        <v>40</v>
      </c>
      <c r="D179" s="7" t="s">
        <v>30</v>
      </c>
      <c r="E179" s="8" t="n">
        <v>11800</v>
      </c>
      <c r="F179" s="8" t="n">
        <v>12527.2</v>
      </c>
      <c r="G179" s="7" t="n">
        <v>40</v>
      </c>
      <c r="H179" s="7" t="n">
        <v>43</v>
      </c>
      <c r="I179" s="9" t="n">
        <f aca="false">IF($D179="Elegível",F179/E179,"")</f>
        <v>1.06162711864407</v>
      </c>
      <c r="J179" s="10" t="n">
        <f aca="false">IF($D179="Elegível",INDEX(Parâmetros!$C$5:$C$8,MATCH(I179,Parâmetros!$B$5:$B$8,1)),0)</f>
        <v>2500</v>
      </c>
      <c r="K179" s="10" t="n">
        <f aca="false">IF(AND($D179="Elegível",H179&gt;=G179),Parâmetros!$C$10,0)</f>
        <v>1500</v>
      </c>
      <c r="L179" s="10" t="n">
        <f aca="false">J179+K179</f>
        <v>4000</v>
      </c>
      <c r="M179" s="10" t="n">
        <v>4000</v>
      </c>
      <c r="N179" s="7" t="str">
        <f aca="false">IF(L179=M179,"OK","DIVERGE")</f>
        <v>OK</v>
      </c>
    </row>
    <row r="180" customFormat="false" ht="15" hidden="false" customHeight="false" outlineLevel="0" collapsed="false">
      <c r="A180" s="7" t="s">
        <v>346</v>
      </c>
      <c r="B180" s="7" t="s">
        <v>172</v>
      </c>
      <c r="C180" s="7" t="s">
        <v>40</v>
      </c>
      <c r="D180" s="7" t="s">
        <v>30</v>
      </c>
      <c r="E180" s="8" t="n">
        <v>2100</v>
      </c>
      <c r="F180" s="8" t="n">
        <v>2100.2</v>
      </c>
      <c r="G180" s="7" t="n">
        <v>20</v>
      </c>
      <c r="H180" s="7" t="n">
        <v>22</v>
      </c>
      <c r="I180" s="9" t="n">
        <f aca="false">IF($D180="Elegível",F180/E180,"")</f>
        <v>1.00009523809524</v>
      </c>
      <c r="J180" s="10" t="n">
        <f aca="false">IF($D180="Elegível",INDEX(Parâmetros!$C$5:$C$8,MATCH(I180,Parâmetros!$B$5:$B$8,1)),0)</f>
        <v>2500</v>
      </c>
      <c r="K180" s="10" t="n">
        <f aca="false">IF(AND($D180="Elegível",H180&gt;=G180),Parâmetros!$C$10,0)</f>
        <v>1500</v>
      </c>
      <c r="L180" s="10" t="n">
        <f aca="false">J180+K180</f>
        <v>4000</v>
      </c>
      <c r="M180" s="10" t="n">
        <v>4000</v>
      </c>
      <c r="N180" s="7" t="str">
        <f aca="false">IF(L180=M180,"OK","DIVERGE")</f>
        <v>OK</v>
      </c>
    </row>
    <row r="181" customFormat="false" ht="15" hidden="false" customHeight="false" outlineLevel="0" collapsed="false">
      <c r="A181" s="7" t="s">
        <v>347</v>
      </c>
      <c r="B181" s="7" t="s">
        <v>348</v>
      </c>
      <c r="C181" s="7" t="s">
        <v>29</v>
      </c>
      <c r="D181" s="7" t="s">
        <v>30</v>
      </c>
      <c r="E181" s="8" t="n">
        <v>19000</v>
      </c>
      <c r="F181" s="8" t="n">
        <v>15424.2</v>
      </c>
      <c r="G181" s="7" t="n">
        <v>40</v>
      </c>
      <c r="H181" s="7" t="n">
        <v>41</v>
      </c>
      <c r="I181" s="9" t="n">
        <f aca="false">IF($D181="Elegível",F181/E181,"")</f>
        <v>0.8118</v>
      </c>
      <c r="J181" s="10" t="n">
        <f aca="false">IF($D181="Elegível",INDEX(Parâmetros!$C$5:$C$8,MATCH(I181,Parâmetros!$B$5:$B$8,1)),0)</f>
        <v>1000</v>
      </c>
      <c r="K181" s="10" t="n">
        <f aca="false">IF(AND($D181="Elegível",H181&gt;=G181),Parâmetros!$C$10,0)</f>
        <v>1500</v>
      </c>
      <c r="L181" s="10" t="n">
        <f aca="false">J181+K181</f>
        <v>2500</v>
      </c>
      <c r="M181" s="10" t="n">
        <v>2500</v>
      </c>
      <c r="N181" s="7" t="str">
        <f aca="false">IF(L181=M181,"OK","DIVERGE")</f>
        <v>OK</v>
      </c>
    </row>
    <row r="182" customFormat="false" ht="15" hidden="false" customHeight="false" outlineLevel="0" collapsed="false">
      <c r="A182" s="7" t="s">
        <v>349</v>
      </c>
      <c r="B182" s="7" t="s">
        <v>123</v>
      </c>
      <c r="C182" s="7" t="s">
        <v>51</v>
      </c>
      <c r="D182" s="7" t="s">
        <v>30</v>
      </c>
      <c r="E182" s="8" t="n">
        <v>18200</v>
      </c>
      <c r="F182" s="8" t="n">
        <v>14583.5</v>
      </c>
      <c r="G182" s="7" t="n">
        <v>40</v>
      </c>
      <c r="H182" s="7" t="n">
        <v>39</v>
      </c>
      <c r="I182" s="9" t="n">
        <f aca="false">IF($D182="Elegível",F182/E182,"")</f>
        <v>0.801291208791209</v>
      </c>
      <c r="J182" s="10" t="n">
        <f aca="false">IF($D182="Elegível",INDEX(Parâmetros!$C$5:$C$8,MATCH(I182,Parâmetros!$B$5:$B$8,1)),0)</f>
        <v>1000</v>
      </c>
      <c r="K182" s="10" t="n">
        <f aca="false">IF(AND($D182="Elegível",H182&gt;=G182),Parâmetros!$C$10,0)</f>
        <v>0</v>
      </c>
      <c r="L182" s="10" t="n">
        <f aca="false">J182+K182</f>
        <v>1000</v>
      </c>
      <c r="M182" s="10" t="n">
        <v>1000</v>
      </c>
      <c r="N182" s="7" t="str">
        <f aca="false">IF(L182=M182,"OK","DIVERGE")</f>
        <v>OK</v>
      </c>
    </row>
    <row r="183" customFormat="false" ht="15" hidden="false" customHeight="false" outlineLevel="0" collapsed="false">
      <c r="A183" s="7" t="s">
        <v>350</v>
      </c>
      <c r="B183" s="7" t="s">
        <v>32</v>
      </c>
      <c r="C183" s="7" t="s">
        <v>33</v>
      </c>
      <c r="D183" s="7" t="s">
        <v>30</v>
      </c>
      <c r="E183" s="8" t="n">
        <v>7900</v>
      </c>
      <c r="F183" s="8" t="n">
        <v>6973.2</v>
      </c>
      <c r="G183" s="7" t="n">
        <v>30</v>
      </c>
      <c r="H183" s="7" t="n">
        <v>29</v>
      </c>
      <c r="I183" s="9" t="n">
        <f aca="false">IF($D183="Elegível",F183/E183,"")</f>
        <v>0.882683544303798</v>
      </c>
      <c r="J183" s="10" t="n">
        <f aca="false">IF($D183="Elegível",INDEX(Parâmetros!$C$5:$C$8,MATCH(I183,Parâmetros!$B$5:$B$8,1)),0)</f>
        <v>1000</v>
      </c>
      <c r="K183" s="10" t="n">
        <f aca="false">IF(AND($D183="Elegível",H183&gt;=G183),Parâmetros!$C$10,0)</f>
        <v>0</v>
      </c>
      <c r="L183" s="10" t="n">
        <f aca="false">J183+K183</f>
        <v>1000</v>
      </c>
      <c r="M183" s="10" t="n">
        <v>1000</v>
      </c>
      <c r="N183" s="7" t="str">
        <f aca="false">IF(L183=M183,"OK","DIVERGE")</f>
        <v>OK</v>
      </c>
    </row>
    <row r="184" customFormat="false" ht="15" hidden="false" customHeight="false" outlineLevel="0" collapsed="false">
      <c r="A184" s="7" t="s">
        <v>351</v>
      </c>
      <c r="B184" s="7" t="s">
        <v>141</v>
      </c>
      <c r="C184" s="7" t="s">
        <v>33</v>
      </c>
      <c r="D184" s="7" t="s">
        <v>30</v>
      </c>
      <c r="E184" s="8" t="n">
        <v>3700</v>
      </c>
      <c r="F184" s="8" t="n">
        <v>3090.6</v>
      </c>
      <c r="G184" s="7" t="n">
        <v>25</v>
      </c>
      <c r="H184" s="7" t="n">
        <v>27</v>
      </c>
      <c r="I184" s="9" t="n">
        <f aca="false">IF($D184="Elegível",F184/E184,"")</f>
        <v>0.835297297297297</v>
      </c>
      <c r="J184" s="10" t="n">
        <f aca="false">IF($D184="Elegível",INDEX(Parâmetros!$C$5:$C$8,MATCH(I184,Parâmetros!$B$5:$B$8,1)),0)</f>
        <v>1000</v>
      </c>
      <c r="K184" s="10" t="n">
        <f aca="false">IF(AND($D184="Elegível",H184&gt;=G184),Parâmetros!$C$10,0)</f>
        <v>1500</v>
      </c>
      <c r="L184" s="10" t="n">
        <f aca="false">J184+K184</f>
        <v>2500</v>
      </c>
      <c r="M184" s="10" t="n">
        <v>2500</v>
      </c>
      <c r="N184" s="7" t="str">
        <f aca="false">IF(L184=M184,"OK","DIVERGE")</f>
        <v>OK</v>
      </c>
    </row>
    <row r="186" customFormat="false" ht="15" hidden="false" customHeight="false" outlineLevel="0" collapsed="false">
      <c r="K186" s="11" t="s">
        <v>352</v>
      </c>
      <c r="L186" s="12" t="n">
        <f aca="false">SUM(L5:L184)</f>
        <v>388000</v>
      </c>
      <c r="M186" s="12" t="n">
        <f aca="false">SUM(M5:M184)</f>
        <v>388000</v>
      </c>
      <c r="N186" s="12" t="str">
        <f aca="false">COUNTIF(N5:N184,"DIVERGE")&amp;" divergência(s)"</f>
        <v>0 divergência(s)</v>
      </c>
    </row>
  </sheetData>
  <autoFilter ref="A4:N184"/>
  <conditionalFormatting sqref="N5:N184">
    <cfRule type="cellIs" priority="2" operator="equal" aboveAverage="0" equalAverage="0" bottom="0" percent="0" rank="0" text="" dxfId="3">
      <formula>"DIVERGE"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</row>
    <row r="3" customFormat="false" ht="30" hidden="false" customHeight="true" outlineLevel="0" collapsed="false">
      <c r="A3" s="3" t="s">
        <v>355</v>
      </c>
      <c r="B3" s="3" t="s">
        <v>356</v>
      </c>
      <c r="C3" s="3" t="s">
        <v>357</v>
      </c>
      <c r="D3" s="3" t="s">
        <v>358</v>
      </c>
    </row>
    <row r="4" customFormat="false" ht="15" hidden="false" customHeight="false" outlineLevel="0" collapsed="false">
      <c r="A4" s="7" t="s">
        <v>359</v>
      </c>
      <c r="B4" s="7" t="s">
        <v>360</v>
      </c>
      <c r="C4" s="7" t="s">
        <v>361</v>
      </c>
      <c r="D4" s="7" t="n">
        <v>944</v>
      </c>
    </row>
    <row r="5" customFormat="false" ht="15" hidden="false" customHeight="false" outlineLevel="0" collapsed="false">
      <c r="A5" s="7" t="s">
        <v>362</v>
      </c>
      <c r="B5" s="7" t="s">
        <v>360</v>
      </c>
      <c r="C5" s="7" t="s">
        <v>361</v>
      </c>
      <c r="D5" s="7" t="n">
        <v>55</v>
      </c>
    </row>
    <row r="6" customFormat="false" ht="15" hidden="false" customHeight="false" outlineLevel="0" collapsed="false">
      <c r="A6" s="7" t="s">
        <v>363</v>
      </c>
      <c r="B6" s="7" t="s">
        <v>360</v>
      </c>
      <c r="C6" s="7" t="s">
        <v>361</v>
      </c>
      <c r="D6" s="7" t="n">
        <v>70</v>
      </c>
    </row>
    <row r="7" customFormat="false" ht="15" hidden="false" customHeight="false" outlineLevel="0" collapsed="false">
      <c r="A7" s="7" t="s">
        <v>364</v>
      </c>
      <c r="B7" s="7" t="s">
        <v>360</v>
      </c>
      <c r="C7" s="7" t="s">
        <v>361</v>
      </c>
      <c r="D7" s="7" t="n">
        <v>38</v>
      </c>
    </row>
    <row r="8" customFormat="false" ht="15" hidden="false" customHeight="false" outlineLevel="0" collapsed="false">
      <c r="A8" s="7" t="s">
        <v>365</v>
      </c>
      <c r="B8" s="7" t="s">
        <v>360</v>
      </c>
      <c r="C8" s="7" t="s">
        <v>366</v>
      </c>
      <c r="D8" s="7" t="n">
        <v>6</v>
      </c>
    </row>
    <row r="9" customFormat="false" ht="15" hidden="false" customHeight="false" outlineLevel="0" collapsed="false">
      <c r="A9" s="7" t="s">
        <v>367</v>
      </c>
      <c r="B9" s="7" t="s">
        <v>368</v>
      </c>
      <c r="C9" s="7" t="s">
        <v>369</v>
      </c>
      <c r="D9" s="7" t="n">
        <v>12</v>
      </c>
    </row>
    <row r="10" customFormat="false" ht="15" hidden="false" customHeight="false" outlineLevel="0" collapsed="false">
      <c r="A10" s="7" t="s">
        <v>370</v>
      </c>
      <c r="B10" s="7" t="s">
        <v>360</v>
      </c>
      <c r="C10" s="7" t="s">
        <v>371</v>
      </c>
      <c r="D10" s="7" t="n">
        <v>28</v>
      </c>
    </row>
  </sheetData>
  <autoFilter ref="A3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33"/>
  </cols>
  <sheetData>
    <row r="1" customFormat="false" ht="17.35" hidden="false" customHeight="false" outlineLevel="0" collapsed="false">
      <c r="A1" s="1" t="s">
        <v>372</v>
      </c>
    </row>
    <row r="3" customFormat="false" ht="30" hidden="false" customHeight="true" outlineLevel="0" collapsed="false">
      <c r="A3" s="3" t="s">
        <v>355</v>
      </c>
      <c r="B3" s="3" t="s">
        <v>356</v>
      </c>
      <c r="C3" s="3" t="s">
        <v>357</v>
      </c>
      <c r="D3" s="3" t="s">
        <v>373</v>
      </c>
      <c r="E3" s="3" t="s">
        <v>374</v>
      </c>
      <c r="F3" s="3" t="s">
        <v>375</v>
      </c>
    </row>
    <row r="4" customFormat="false" ht="15" hidden="false" customHeight="false" outlineLevel="0" collapsed="false">
      <c r="A4" s="7" t="s">
        <v>359</v>
      </c>
      <c r="B4" s="7" t="s">
        <v>360</v>
      </c>
      <c r="C4" s="7" t="s">
        <v>361</v>
      </c>
      <c r="D4" s="7" t="s">
        <v>376</v>
      </c>
      <c r="E4" s="7" t="s">
        <v>303</v>
      </c>
      <c r="F4" s="7" t="s">
        <v>377</v>
      </c>
    </row>
    <row r="5" customFormat="false" ht="15" hidden="false" customHeight="false" outlineLevel="0" collapsed="false">
      <c r="A5" s="7" t="s">
        <v>359</v>
      </c>
      <c r="B5" s="7" t="s">
        <v>360</v>
      </c>
      <c r="C5" s="7" t="s">
        <v>361</v>
      </c>
      <c r="D5" s="7" t="s">
        <v>378</v>
      </c>
      <c r="E5" s="7" t="s">
        <v>340</v>
      </c>
      <c r="F5" s="7" t="s">
        <v>379</v>
      </c>
    </row>
    <row r="6" customFormat="false" ht="15" hidden="false" customHeight="false" outlineLevel="0" collapsed="false">
      <c r="A6" s="7" t="s">
        <v>359</v>
      </c>
      <c r="B6" s="7" t="s">
        <v>360</v>
      </c>
      <c r="C6" s="7" t="s">
        <v>361</v>
      </c>
      <c r="D6" s="7" t="s">
        <v>380</v>
      </c>
      <c r="E6" s="7" t="s">
        <v>262</v>
      </c>
      <c r="F6" s="7" t="s">
        <v>381</v>
      </c>
    </row>
    <row r="7" customFormat="false" ht="15" hidden="false" customHeight="false" outlineLevel="0" collapsed="false">
      <c r="A7" s="7" t="s">
        <v>359</v>
      </c>
      <c r="B7" s="7" t="s">
        <v>360</v>
      </c>
      <c r="C7" s="7" t="s">
        <v>361</v>
      </c>
      <c r="D7" s="7" t="s">
        <v>382</v>
      </c>
      <c r="E7" s="7" t="s">
        <v>298</v>
      </c>
      <c r="F7" s="7" t="s">
        <v>383</v>
      </c>
    </row>
    <row r="8" customFormat="false" ht="15" hidden="false" customHeight="false" outlineLevel="0" collapsed="false">
      <c r="A8" s="7" t="s">
        <v>359</v>
      </c>
      <c r="B8" s="7" t="s">
        <v>360</v>
      </c>
      <c r="C8" s="7" t="s">
        <v>361</v>
      </c>
      <c r="D8" s="7" t="s">
        <v>384</v>
      </c>
      <c r="E8" s="7" t="s">
        <v>131</v>
      </c>
      <c r="F8" s="7" t="s">
        <v>385</v>
      </c>
    </row>
    <row r="9" customFormat="false" ht="15" hidden="false" customHeight="false" outlineLevel="0" collapsed="false">
      <c r="A9" s="7" t="s">
        <v>359</v>
      </c>
      <c r="B9" s="7" t="s">
        <v>360</v>
      </c>
      <c r="C9" s="7" t="s">
        <v>361</v>
      </c>
      <c r="D9" s="7" t="s">
        <v>386</v>
      </c>
      <c r="E9" s="7" t="s">
        <v>291</v>
      </c>
      <c r="F9" s="7" t="s">
        <v>387</v>
      </c>
    </row>
    <row r="10" customFormat="false" ht="15" hidden="false" customHeight="false" outlineLevel="0" collapsed="false">
      <c r="A10" s="7" t="s">
        <v>359</v>
      </c>
      <c r="B10" s="7" t="s">
        <v>360</v>
      </c>
      <c r="C10" s="7" t="s">
        <v>361</v>
      </c>
      <c r="D10" s="7" t="s">
        <v>388</v>
      </c>
      <c r="E10" s="7" t="s">
        <v>59</v>
      </c>
      <c r="F10" s="7" t="s">
        <v>389</v>
      </c>
    </row>
    <row r="11" customFormat="false" ht="15" hidden="false" customHeight="false" outlineLevel="0" collapsed="false">
      <c r="A11" s="7" t="s">
        <v>359</v>
      </c>
      <c r="B11" s="7" t="s">
        <v>360</v>
      </c>
      <c r="C11" s="7" t="s">
        <v>361</v>
      </c>
      <c r="D11" s="7" t="s">
        <v>390</v>
      </c>
      <c r="E11" s="7" t="s">
        <v>232</v>
      </c>
      <c r="F11" s="7" t="s">
        <v>391</v>
      </c>
    </row>
    <row r="12" customFormat="false" ht="15" hidden="false" customHeight="false" outlineLevel="0" collapsed="false">
      <c r="A12" s="7" t="s">
        <v>359</v>
      </c>
      <c r="B12" s="7" t="s">
        <v>360</v>
      </c>
      <c r="C12" s="7" t="s">
        <v>361</v>
      </c>
      <c r="D12" s="7" t="s">
        <v>392</v>
      </c>
      <c r="E12" s="7" t="s">
        <v>90</v>
      </c>
      <c r="F12" s="7" t="s">
        <v>393</v>
      </c>
    </row>
    <row r="13" customFormat="false" ht="15" hidden="false" customHeight="false" outlineLevel="0" collapsed="false">
      <c r="A13" s="7" t="s">
        <v>359</v>
      </c>
      <c r="B13" s="7" t="s">
        <v>360</v>
      </c>
      <c r="C13" s="7" t="s">
        <v>361</v>
      </c>
      <c r="D13" s="7" t="s">
        <v>394</v>
      </c>
      <c r="E13" s="7" t="s">
        <v>250</v>
      </c>
      <c r="F13" s="7" t="s">
        <v>395</v>
      </c>
    </row>
    <row r="14" customFormat="false" ht="15" hidden="false" customHeight="false" outlineLevel="0" collapsed="false">
      <c r="A14" s="7" t="s">
        <v>359</v>
      </c>
      <c r="B14" s="7" t="s">
        <v>360</v>
      </c>
      <c r="C14" s="7" t="s">
        <v>361</v>
      </c>
      <c r="D14" s="7" t="s">
        <v>396</v>
      </c>
      <c r="E14" s="7" t="s">
        <v>283</v>
      </c>
      <c r="F14" s="7" t="s">
        <v>397</v>
      </c>
    </row>
    <row r="15" customFormat="false" ht="15" hidden="false" customHeight="false" outlineLevel="0" collapsed="false">
      <c r="A15" s="7" t="s">
        <v>359</v>
      </c>
      <c r="B15" s="7" t="s">
        <v>360</v>
      </c>
      <c r="C15" s="7" t="s">
        <v>361</v>
      </c>
      <c r="D15" s="7" t="s">
        <v>398</v>
      </c>
      <c r="E15" s="7" t="s">
        <v>300</v>
      </c>
      <c r="F15" s="7" t="s">
        <v>399</v>
      </c>
    </row>
    <row r="16" customFormat="false" ht="15" hidden="false" customHeight="false" outlineLevel="0" collapsed="false">
      <c r="A16" s="7" t="s">
        <v>359</v>
      </c>
      <c r="B16" s="7" t="s">
        <v>360</v>
      </c>
      <c r="C16" s="7" t="s">
        <v>361</v>
      </c>
      <c r="D16" s="7" t="s">
        <v>400</v>
      </c>
      <c r="E16" s="7" t="s">
        <v>87</v>
      </c>
      <c r="F16" s="7" t="s">
        <v>401</v>
      </c>
    </row>
    <row r="17" customFormat="false" ht="15" hidden="false" customHeight="false" outlineLevel="0" collapsed="false">
      <c r="A17" s="7" t="s">
        <v>359</v>
      </c>
      <c r="B17" s="7" t="s">
        <v>360</v>
      </c>
      <c r="C17" s="7" t="s">
        <v>361</v>
      </c>
      <c r="D17" s="7" t="s">
        <v>402</v>
      </c>
      <c r="E17" s="7" t="s">
        <v>281</v>
      </c>
      <c r="F17" s="7" t="s">
        <v>403</v>
      </c>
    </row>
    <row r="18" customFormat="false" ht="15" hidden="false" customHeight="false" outlineLevel="0" collapsed="false">
      <c r="A18" s="7" t="s">
        <v>359</v>
      </c>
      <c r="B18" s="7" t="s">
        <v>360</v>
      </c>
      <c r="C18" s="7" t="s">
        <v>361</v>
      </c>
      <c r="D18" s="7" t="s">
        <v>404</v>
      </c>
      <c r="E18" s="7" t="s">
        <v>130</v>
      </c>
      <c r="F18" s="7" t="s">
        <v>405</v>
      </c>
    </row>
    <row r="19" customFormat="false" ht="15" hidden="false" customHeight="false" outlineLevel="0" collapsed="false">
      <c r="A19" s="7" t="s">
        <v>359</v>
      </c>
      <c r="B19" s="7" t="s">
        <v>360</v>
      </c>
      <c r="C19" s="7" t="s">
        <v>361</v>
      </c>
      <c r="D19" s="7" t="s">
        <v>406</v>
      </c>
      <c r="E19" s="7" t="s">
        <v>262</v>
      </c>
      <c r="F19" s="7" t="s">
        <v>407</v>
      </c>
    </row>
    <row r="20" customFormat="false" ht="15" hidden="false" customHeight="false" outlineLevel="0" collapsed="false">
      <c r="A20" s="7" t="s">
        <v>359</v>
      </c>
      <c r="B20" s="7" t="s">
        <v>360</v>
      </c>
      <c r="C20" s="7" t="s">
        <v>361</v>
      </c>
      <c r="D20" s="7" t="s">
        <v>408</v>
      </c>
      <c r="E20" s="7" t="s">
        <v>285</v>
      </c>
      <c r="F20" s="7" t="s">
        <v>409</v>
      </c>
    </row>
    <row r="21" customFormat="false" ht="15" hidden="false" customHeight="false" outlineLevel="0" collapsed="false">
      <c r="A21" s="7" t="s">
        <v>359</v>
      </c>
      <c r="B21" s="7" t="s">
        <v>360</v>
      </c>
      <c r="C21" s="7" t="s">
        <v>361</v>
      </c>
      <c r="D21" s="7" t="s">
        <v>410</v>
      </c>
      <c r="E21" s="7" t="s">
        <v>216</v>
      </c>
      <c r="F21" s="7" t="s">
        <v>411</v>
      </c>
    </row>
    <row r="22" customFormat="false" ht="15" hidden="false" customHeight="false" outlineLevel="0" collapsed="false">
      <c r="A22" s="7" t="s">
        <v>359</v>
      </c>
      <c r="B22" s="7" t="s">
        <v>360</v>
      </c>
      <c r="C22" s="7" t="s">
        <v>361</v>
      </c>
      <c r="D22" s="7" t="s">
        <v>412</v>
      </c>
      <c r="E22" s="7" t="s">
        <v>300</v>
      </c>
      <c r="F22" s="7" t="s">
        <v>413</v>
      </c>
    </row>
    <row r="23" customFormat="false" ht="15" hidden="false" customHeight="false" outlineLevel="0" collapsed="false">
      <c r="A23" s="7" t="s">
        <v>359</v>
      </c>
      <c r="B23" s="7" t="s">
        <v>360</v>
      </c>
      <c r="C23" s="7" t="s">
        <v>361</v>
      </c>
      <c r="D23" s="7" t="s">
        <v>414</v>
      </c>
      <c r="E23" s="7" t="s">
        <v>146</v>
      </c>
      <c r="F23" s="7" t="s">
        <v>415</v>
      </c>
    </row>
    <row r="24" customFormat="false" ht="15" hidden="false" customHeight="false" outlineLevel="0" collapsed="false">
      <c r="A24" s="7" t="s">
        <v>359</v>
      </c>
      <c r="B24" s="7" t="s">
        <v>360</v>
      </c>
      <c r="C24" s="7" t="s">
        <v>361</v>
      </c>
      <c r="D24" s="7" t="s">
        <v>416</v>
      </c>
      <c r="E24" s="7" t="s">
        <v>327</v>
      </c>
      <c r="F24" s="7" t="s">
        <v>417</v>
      </c>
    </row>
    <row r="25" customFormat="false" ht="15" hidden="false" customHeight="false" outlineLevel="0" collapsed="false">
      <c r="A25" s="7" t="s">
        <v>359</v>
      </c>
      <c r="B25" s="7" t="s">
        <v>360</v>
      </c>
      <c r="C25" s="7" t="s">
        <v>361</v>
      </c>
      <c r="D25" s="7" t="s">
        <v>418</v>
      </c>
      <c r="E25" s="7" t="s">
        <v>327</v>
      </c>
      <c r="F25" s="7" t="s">
        <v>419</v>
      </c>
    </row>
    <row r="26" customFormat="false" ht="15" hidden="false" customHeight="false" outlineLevel="0" collapsed="false">
      <c r="A26" s="7" t="s">
        <v>359</v>
      </c>
      <c r="B26" s="7" t="s">
        <v>360</v>
      </c>
      <c r="C26" s="7" t="s">
        <v>361</v>
      </c>
      <c r="D26" s="7" t="s">
        <v>420</v>
      </c>
      <c r="E26" s="7" t="s">
        <v>228</v>
      </c>
      <c r="F26" s="7" t="s">
        <v>421</v>
      </c>
    </row>
    <row r="27" customFormat="false" ht="15" hidden="false" customHeight="false" outlineLevel="0" collapsed="false">
      <c r="A27" s="7" t="s">
        <v>359</v>
      </c>
      <c r="B27" s="7" t="s">
        <v>360</v>
      </c>
      <c r="C27" s="7" t="s">
        <v>361</v>
      </c>
      <c r="D27" s="7" t="s">
        <v>422</v>
      </c>
      <c r="E27" s="7" t="s">
        <v>96</v>
      </c>
      <c r="F27" s="7" t="s">
        <v>423</v>
      </c>
    </row>
    <row r="28" customFormat="false" ht="15" hidden="false" customHeight="false" outlineLevel="0" collapsed="false">
      <c r="A28" s="7" t="s">
        <v>359</v>
      </c>
      <c r="B28" s="7" t="s">
        <v>360</v>
      </c>
      <c r="C28" s="7" t="s">
        <v>361</v>
      </c>
      <c r="D28" s="7" t="s">
        <v>424</v>
      </c>
      <c r="E28" s="7" t="s">
        <v>122</v>
      </c>
      <c r="F28" s="7" t="s">
        <v>425</v>
      </c>
    </row>
    <row r="29" customFormat="false" ht="15" hidden="false" customHeight="false" outlineLevel="0" collapsed="false">
      <c r="A29" s="7" t="s">
        <v>359</v>
      </c>
      <c r="B29" s="7" t="s">
        <v>360</v>
      </c>
      <c r="C29" s="7" t="s">
        <v>361</v>
      </c>
      <c r="D29" s="7" t="s">
        <v>426</v>
      </c>
      <c r="E29" s="7" t="s">
        <v>38</v>
      </c>
      <c r="F29" s="7" t="s">
        <v>427</v>
      </c>
    </row>
    <row r="30" customFormat="false" ht="15" hidden="false" customHeight="false" outlineLevel="0" collapsed="false">
      <c r="A30" s="7" t="s">
        <v>359</v>
      </c>
      <c r="B30" s="7" t="s">
        <v>360</v>
      </c>
      <c r="C30" s="7" t="s">
        <v>361</v>
      </c>
      <c r="D30" s="7" t="s">
        <v>428</v>
      </c>
      <c r="E30" s="7" t="s">
        <v>298</v>
      </c>
      <c r="F30" s="7" t="s">
        <v>429</v>
      </c>
    </row>
    <row r="31" customFormat="false" ht="15" hidden="false" customHeight="false" outlineLevel="0" collapsed="false">
      <c r="A31" s="7" t="s">
        <v>359</v>
      </c>
      <c r="B31" s="7" t="s">
        <v>360</v>
      </c>
      <c r="C31" s="7" t="s">
        <v>361</v>
      </c>
      <c r="D31" s="7" t="s">
        <v>430</v>
      </c>
      <c r="E31" s="7" t="s">
        <v>245</v>
      </c>
      <c r="F31" s="7" t="s">
        <v>431</v>
      </c>
    </row>
    <row r="32" customFormat="false" ht="15" hidden="false" customHeight="false" outlineLevel="0" collapsed="false">
      <c r="A32" s="7" t="s">
        <v>359</v>
      </c>
      <c r="B32" s="7" t="s">
        <v>360</v>
      </c>
      <c r="C32" s="7" t="s">
        <v>361</v>
      </c>
      <c r="D32" s="7" t="s">
        <v>432</v>
      </c>
      <c r="E32" s="7" t="s">
        <v>285</v>
      </c>
      <c r="F32" s="7" t="s">
        <v>433</v>
      </c>
    </row>
    <row r="33" customFormat="false" ht="15" hidden="false" customHeight="false" outlineLevel="0" collapsed="false">
      <c r="A33" s="7" t="s">
        <v>359</v>
      </c>
      <c r="B33" s="7" t="s">
        <v>360</v>
      </c>
      <c r="C33" s="7" t="s">
        <v>361</v>
      </c>
      <c r="D33" s="7" t="s">
        <v>434</v>
      </c>
      <c r="E33" s="7" t="s">
        <v>81</v>
      </c>
      <c r="F33" s="7" t="s">
        <v>435</v>
      </c>
    </row>
    <row r="34" customFormat="false" ht="15" hidden="false" customHeight="false" outlineLevel="0" collapsed="false">
      <c r="A34" s="7" t="s">
        <v>359</v>
      </c>
      <c r="B34" s="7" t="s">
        <v>360</v>
      </c>
      <c r="C34" s="7" t="s">
        <v>361</v>
      </c>
      <c r="D34" s="7" t="s">
        <v>436</v>
      </c>
      <c r="E34" s="7" t="s">
        <v>338</v>
      </c>
      <c r="F34" s="7" t="s">
        <v>437</v>
      </c>
    </row>
    <row r="35" customFormat="false" ht="15" hidden="false" customHeight="false" outlineLevel="0" collapsed="false">
      <c r="A35" s="7" t="s">
        <v>359</v>
      </c>
      <c r="B35" s="7" t="s">
        <v>360</v>
      </c>
      <c r="C35" s="7" t="s">
        <v>361</v>
      </c>
      <c r="D35" s="7" t="s">
        <v>438</v>
      </c>
      <c r="E35" s="7" t="s">
        <v>289</v>
      </c>
      <c r="F35" s="7" t="s">
        <v>439</v>
      </c>
    </row>
    <row r="36" customFormat="false" ht="15" hidden="false" customHeight="false" outlineLevel="0" collapsed="false">
      <c r="A36" s="7" t="s">
        <v>359</v>
      </c>
      <c r="B36" s="7" t="s">
        <v>360</v>
      </c>
      <c r="C36" s="7" t="s">
        <v>361</v>
      </c>
      <c r="D36" s="7" t="s">
        <v>440</v>
      </c>
      <c r="E36" s="7" t="s">
        <v>258</v>
      </c>
      <c r="F36" s="7" t="s">
        <v>441</v>
      </c>
    </row>
    <row r="37" customFormat="false" ht="15" hidden="false" customHeight="false" outlineLevel="0" collapsed="false">
      <c r="A37" s="7" t="s">
        <v>359</v>
      </c>
      <c r="B37" s="7" t="s">
        <v>360</v>
      </c>
      <c r="C37" s="7" t="s">
        <v>361</v>
      </c>
      <c r="D37" s="7" t="s">
        <v>442</v>
      </c>
      <c r="E37" s="7" t="s">
        <v>258</v>
      </c>
      <c r="F37" s="7" t="s">
        <v>443</v>
      </c>
    </row>
    <row r="38" customFormat="false" ht="15" hidden="false" customHeight="false" outlineLevel="0" collapsed="false">
      <c r="A38" s="7" t="s">
        <v>359</v>
      </c>
      <c r="B38" s="7" t="s">
        <v>360</v>
      </c>
      <c r="C38" s="7" t="s">
        <v>361</v>
      </c>
      <c r="D38" s="7" t="s">
        <v>444</v>
      </c>
      <c r="E38" s="7" t="s">
        <v>287</v>
      </c>
      <c r="F38" s="7" t="s">
        <v>445</v>
      </c>
    </row>
    <row r="39" customFormat="false" ht="15" hidden="false" customHeight="false" outlineLevel="0" collapsed="false">
      <c r="A39" s="7" t="s">
        <v>359</v>
      </c>
      <c r="B39" s="7" t="s">
        <v>360</v>
      </c>
      <c r="C39" s="7" t="s">
        <v>361</v>
      </c>
      <c r="D39" s="7" t="s">
        <v>446</v>
      </c>
      <c r="E39" s="7" t="s">
        <v>258</v>
      </c>
      <c r="F39" s="7" t="s">
        <v>447</v>
      </c>
    </row>
    <row r="40" customFormat="false" ht="15" hidden="false" customHeight="false" outlineLevel="0" collapsed="false">
      <c r="A40" s="7" t="s">
        <v>359</v>
      </c>
      <c r="B40" s="7" t="s">
        <v>360</v>
      </c>
      <c r="C40" s="7" t="s">
        <v>361</v>
      </c>
      <c r="D40" s="7" t="s">
        <v>448</v>
      </c>
      <c r="E40" s="7" t="s">
        <v>283</v>
      </c>
      <c r="F40" s="7" t="s">
        <v>449</v>
      </c>
    </row>
    <row r="41" customFormat="false" ht="15" hidden="false" customHeight="false" outlineLevel="0" collapsed="false">
      <c r="A41" s="7" t="s">
        <v>359</v>
      </c>
      <c r="B41" s="7" t="s">
        <v>360</v>
      </c>
      <c r="C41" s="7" t="s">
        <v>361</v>
      </c>
      <c r="D41" s="7" t="s">
        <v>450</v>
      </c>
      <c r="E41" s="7" t="s">
        <v>122</v>
      </c>
      <c r="F41" s="7" t="s">
        <v>451</v>
      </c>
    </row>
    <row r="42" customFormat="false" ht="15" hidden="false" customHeight="false" outlineLevel="0" collapsed="false">
      <c r="A42" s="7" t="s">
        <v>359</v>
      </c>
      <c r="B42" s="7" t="s">
        <v>360</v>
      </c>
      <c r="C42" s="7" t="s">
        <v>361</v>
      </c>
      <c r="D42" s="7" t="s">
        <v>452</v>
      </c>
      <c r="E42" s="7" t="s">
        <v>116</v>
      </c>
      <c r="F42" s="7" t="s">
        <v>453</v>
      </c>
    </row>
    <row r="43" customFormat="false" ht="15" hidden="false" customHeight="false" outlineLevel="0" collapsed="false">
      <c r="A43" s="7" t="s">
        <v>359</v>
      </c>
      <c r="B43" s="7" t="s">
        <v>360</v>
      </c>
      <c r="C43" s="7" t="s">
        <v>361</v>
      </c>
      <c r="D43" s="7" t="s">
        <v>454</v>
      </c>
      <c r="E43" s="7" t="s">
        <v>148</v>
      </c>
      <c r="F43" s="7" t="s">
        <v>455</v>
      </c>
    </row>
    <row r="44" customFormat="false" ht="15" hidden="false" customHeight="false" outlineLevel="0" collapsed="false">
      <c r="A44" s="7" t="s">
        <v>359</v>
      </c>
      <c r="B44" s="7" t="s">
        <v>360</v>
      </c>
      <c r="C44" s="7" t="s">
        <v>361</v>
      </c>
      <c r="D44" s="7" t="s">
        <v>456</v>
      </c>
      <c r="E44" s="7" t="s">
        <v>49</v>
      </c>
      <c r="F44" s="7" t="s">
        <v>457</v>
      </c>
    </row>
    <row r="45" customFormat="false" ht="15" hidden="false" customHeight="false" outlineLevel="0" collapsed="false">
      <c r="A45" s="7" t="s">
        <v>359</v>
      </c>
      <c r="B45" s="7" t="s">
        <v>360</v>
      </c>
      <c r="C45" s="7" t="s">
        <v>361</v>
      </c>
      <c r="D45" s="7" t="s">
        <v>458</v>
      </c>
      <c r="E45" s="7" t="s">
        <v>258</v>
      </c>
      <c r="F45" s="7" t="s">
        <v>459</v>
      </c>
    </row>
    <row r="46" customFormat="false" ht="15" hidden="false" customHeight="false" outlineLevel="0" collapsed="false">
      <c r="A46" s="7" t="s">
        <v>359</v>
      </c>
      <c r="B46" s="7" t="s">
        <v>360</v>
      </c>
      <c r="C46" s="7" t="s">
        <v>361</v>
      </c>
      <c r="D46" s="7" t="s">
        <v>460</v>
      </c>
      <c r="E46" s="7" t="s">
        <v>43</v>
      </c>
      <c r="F46" s="7" t="s">
        <v>461</v>
      </c>
    </row>
    <row r="47" customFormat="false" ht="15" hidden="false" customHeight="false" outlineLevel="0" collapsed="false">
      <c r="A47" s="7" t="s">
        <v>359</v>
      </c>
      <c r="B47" s="7" t="s">
        <v>360</v>
      </c>
      <c r="C47" s="7" t="s">
        <v>361</v>
      </c>
      <c r="D47" s="7" t="s">
        <v>462</v>
      </c>
      <c r="E47" s="7" t="s">
        <v>256</v>
      </c>
      <c r="F47" s="7" t="s">
        <v>463</v>
      </c>
    </row>
    <row r="48" customFormat="false" ht="15" hidden="false" customHeight="false" outlineLevel="0" collapsed="false">
      <c r="A48" s="7" t="s">
        <v>359</v>
      </c>
      <c r="B48" s="7" t="s">
        <v>360</v>
      </c>
      <c r="C48" s="7" t="s">
        <v>361</v>
      </c>
      <c r="D48" s="7" t="s">
        <v>464</v>
      </c>
      <c r="E48" s="7" t="s">
        <v>344</v>
      </c>
      <c r="F48" s="7" t="s">
        <v>465</v>
      </c>
    </row>
    <row r="49" customFormat="false" ht="15" hidden="false" customHeight="false" outlineLevel="0" collapsed="false">
      <c r="A49" s="7" t="s">
        <v>359</v>
      </c>
      <c r="B49" s="7" t="s">
        <v>360</v>
      </c>
      <c r="C49" s="7" t="s">
        <v>361</v>
      </c>
      <c r="D49" s="7" t="s">
        <v>466</v>
      </c>
      <c r="E49" s="7" t="s">
        <v>41</v>
      </c>
      <c r="F49" s="7" t="s">
        <v>467</v>
      </c>
    </row>
    <row r="50" customFormat="false" ht="15" hidden="false" customHeight="false" outlineLevel="0" collapsed="false">
      <c r="A50" s="7" t="s">
        <v>359</v>
      </c>
      <c r="B50" s="7" t="s">
        <v>360</v>
      </c>
      <c r="C50" s="7" t="s">
        <v>361</v>
      </c>
      <c r="D50" s="7" t="s">
        <v>468</v>
      </c>
      <c r="E50" s="7" t="s">
        <v>146</v>
      </c>
      <c r="F50" s="7" t="s">
        <v>469</v>
      </c>
    </row>
    <row r="51" customFormat="false" ht="15" hidden="false" customHeight="false" outlineLevel="0" collapsed="false">
      <c r="A51" s="7" t="s">
        <v>359</v>
      </c>
      <c r="B51" s="7" t="s">
        <v>360</v>
      </c>
      <c r="C51" s="7" t="s">
        <v>361</v>
      </c>
      <c r="D51" s="7" t="s">
        <v>470</v>
      </c>
      <c r="E51" s="7" t="s">
        <v>43</v>
      </c>
      <c r="F51" s="7" t="s">
        <v>471</v>
      </c>
    </row>
    <row r="52" customFormat="false" ht="15" hidden="false" customHeight="false" outlineLevel="0" collapsed="false">
      <c r="A52" s="7" t="s">
        <v>359</v>
      </c>
      <c r="B52" s="7" t="s">
        <v>360</v>
      </c>
      <c r="C52" s="7" t="s">
        <v>361</v>
      </c>
      <c r="D52" s="7" t="s">
        <v>472</v>
      </c>
      <c r="E52" s="7" t="s">
        <v>279</v>
      </c>
      <c r="F52" s="7" t="s">
        <v>473</v>
      </c>
    </row>
    <row r="53" customFormat="false" ht="15" hidden="false" customHeight="false" outlineLevel="0" collapsed="false">
      <c r="A53" s="7" t="s">
        <v>359</v>
      </c>
      <c r="B53" s="7" t="s">
        <v>360</v>
      </c>
      <c r="C53" s="7" t="s">
        <v>361</v>
      </c>
      <c r="D53" s="7" t="s">
        <v>474</v>
      </c>
      <c r="E53" s="7" t="s">
        <v>49</v>
      </c>
      <c r="F53" s="7" t="s">
        <v>475</v>
      </c>
    </row>
    <row r="54" customFormat="false" ht="15" hidden="false" customHeight="false" outlineLevel="0" collapsed="false">
      <c r="A54" s="7" t="s">
        <v>359</v>
      </c>
      <c r="B54" s="7" t="s">
        <v>360</v>
      </c>
      <c r="C54" s="7" t="s">
        <v>361</v>
      </c>
      <c r="D54" s="7" t="s">
        <v>476</v>
      </c>
      <c r="E54" s="7" t="s">
        <v>186</v>
      </c>
      <c r="F54" s="7" t="s">
        <v>477</v>
      </c>
    </row>
    <row r="55" customFormat="false" ht="15" hidden="false" customHeight="false" outlineLevel="0" collapsed="false">
      <c r="A55" s="7" t="s">
        <v>359</v>
      </c>
      <c r="B55" s="7" t="s">
        <v>360</v>
      </c>
      <c r="C55" s="7" t="s">
        <v>361</v>
      </c>
      <c r="D55" s="7" t="s">
        <v>478</v>
      </c>
      <c r="E55" s="7" t="s">
        <v>41</v>
      </c>
      <c r="F55" s="7" t="s">
        <v>479</v>
      </c>
    </row>
    <row r="56" customFormat="false" ht="15" hidden="false" customHeight="false" outlineLevel="0" collapsed="false">
      <c r="A56" s="7" t="s">
        <v>359</v>
      </c>
      <c r="B56" s="7" t="s">
        <v>360</v>
      </c>
      <c r="C56" s="7" t="s">
        <v>361</v>
      </c>
      <c r="D56" s="7" t="s">
        <v>480</v>
      </c>
      <c r="E56" s="7" t="s">
        <v>148</v>
      </c>
      <c r="F56" s="7" t="s">
        <v>481</v>
      </c>
    </row>
    <row r="57" customFormat="false" ht="15" hidden="false" customHeight="false" outlineLevel="0" collapsed="false">
      <c r="A57" s="7" t="s">
        <v>359</v>
      </c>
      <c r="B57" s="7" t="s">
        <v>360</v>
      </c>
      <c r="C57" s="7" t="s">
        <v>361</v>
      </c>
      <c r="D57" s="7" t="s">
        <v>482</v>
      </c>
      <c r="E57" s="7" t="s">
        <v>235</v>
      </c>
      <c r="F57" s="7" t="s">
        <v>483</v>
      </c>
    </row>
    <row r="58" customFormat="false" ht="15" hidden="false" customHeight="false" outlineLevel="0" collapsed="false">
      <c r="A58" s="7" t="s">
        <v>359</v>
      </c>
      <c r="B58" s="7" t="s">
        <v>360</v>
      </c>
      <c r="C58" s="7" t="s">
        <v>361</v>
      </c>
      <c r="D58" s="7" t="s">
        <v>484</v>
      </c>
      <c r="E58" s="7" t="s">
        <v>54</v>
      </c>
      <c r="F58" s="7" t="s">
        <v>485</v>
      </c>
    </row>
    <row r="59" customFormat="false" ht="15" hidden="false" customHeight="false" outlineLevel="0" collapsed="false">
      <c r="A59" s="7" t="s">
        <v>359</v>
      </c>
      <c r="B59" s="7" t="s">
        <v>360</v>
      </c>
      <c r="C59" s="7" t="s">
        <v>361</v>
      </c>
      <c r="D59" s="7" t="s">
        <v>486</v>
      </c>
      <c r="E59" s="7" t="s">
        <v>254</v>
      </c>
      <c r="F59" s="7" t="s">
        <v>487</v>
      </c>
    </row>
    <row r="60" customFormat="false" ht="15" hidden="false" customHeight="false" outlineLevel="0" collapsed="false">
      <c r="A60" s="7" t="s">
        <v>359</v>
      </c>
      <c r="B60" s="7" t="s">
        <v>360</v>
      </c>
      <c r="C60" s="7" t="s">
        <v>361</v>
      </c>
      <c r="D60" s="7" t="s">
        <v>488</v>
      </c>
      <c r="E60" s="7" t="s">
        <v>351</v>
      </c>
      <c r="F60" s="7" t="s">
        <v>489</v>
      </c>
    </row>
    <row r="61" customFormat="false" ht="15" hidden="false" customHeight="false" outlineLevel="0" collapsed="false">
      <c r="A61" s="7" t="s">
        <v>359</v>
      </c>
      <c r="B61" s="7" t="s">
        <v>360</v>
      </c>
      <c r="C61" s="7" t="s">
        <v>361</v>
      </c>
      <c r="D61" s="7" t="s">
        <v>490</v>
      </c>
      <c r="E61" s="7" t="s">
        <v>130</v>
      </c>
      <c r="F61" s="7" t="s">
        <v>491</v>
      </c>
    </row>
    <row r="62" customFormat="false" ht="15" hidden="false" customHeight="false" outlineLevel="0" collapsed="false">
      <c r="A62" s="7" t="s">
        <v>359</v>
      </c>
      <c r="B62" s="7" t="s">
        <v>360</v>
      </c>
      <c r="C62" s="7" t="s">
        <v>361</v>
      </c>
      <c r="D62" s="7" t="s">
        <v>492</v>
      </c>
      <c r="E62" s="7" t="s">
        <v>338</v>
      </c>
      <c r="F62" s="7" t="s">
        <v>493</v>
      </c>
    </row>
    <row r="63" customFormat="false" ht="15" hidden="false" customHeight="false" outlineLevel="0" collapsed="false">
      <c r="A63" s="7" t="s">
        <v>359</v>
      </c>
      <c r="B63" s="7" t="s">
        <v>360</v>
      </c>
      <c r="C63" s="7" t="s">
        <v>361</v>
      </c>
      <c r="D63" s="7" t="s">
        <v>494</v>
      </c>
      <c r="E63" s="7" t="s">
        <v>344</v>
      </c>
      <c r="F63" s="7" t="s">
        <v>495</v>
      </c>
    </row>
    <row r="64" customFormat="false" ht="15" hidden="false" customHeight="false" outlineLevel="0" collapsed="false">
      <c r="A64" s="7" t="s">
        <v>359</v>
      </c>
      <c r="B64" s="7" t="s">
        <v>360</v>
      </c>
      <c r="C64" s="7" t="s">
        <v>361</v>
      </c>
      <c r="D64" s="7" t="s">
        <v>496</v>
      </c>
      <c r="E64" s="7" t="s">
        <v>183</v>
      </c>
      <c r="F64" s="7" t="s">
        <v>497</v>
      </c>
    </row>
    <row r="65" customFormat="false" ht="15" hidden="false" customHeight="false" outlineLevel="0" collapsed="false">
      <c r="A65" s="7" t="s">
        <v>359</v>
      </c>
      <c r="B65" s="7" t="s">
        <v>360</v>
      </c>
      <c r="C65" s="7" t="s">
        <v>361</v>
      </c>
      <c r="D65" s="7" t="s">
        <v>498</v>
      </c>
      <c r="E65" s="7" t="s">
        <v>289</v>
      </c>
      <c r="F65" s="7" t="s">
        <v>499</v>
      </c>
    </row>
    <row r="66" customFormat="false" ht="15" hidden="false" customHeight="false" outlineLevel="0" collapsed="false">
      <c r="A66" s="7" t="s">
        <v>359</v>
      </c>
      <c r="B66" s="7" t="s">
        <v>360</v>
      </c>
      <c r="C66" s="7" t="s">
        <v>361</v>
      </c>
      <c r="D66" s="7" t="s">
        <v>500</v>
      </c>
      <c r="E66" s="7" t="s">
        <v>277</v>
      </c>
      <c r="F66" s="7" t="s">
        <v>501</v>
      </c>
    </row>
    <row r="67" customFormat="false" ht="15" hidden="false" customHeight="false" outlineLevel="0" collapsed="false">
      <c r="A67" s="7" t="s">
        <v>359</v>
      </c>
      <c r="B67" s="7" t="s">
        <v>360</v>
      </c>
      <c r="C67" s="7" t="s">
        <v>361</v>
      </c>
      <c r="D67" s="7" t="s">
        <v>502</v>
      </c>
      <c r="E67" s="7" t="s">
        <v>344</v>
      </c>
      <c r="F67" s="7" t="s">
        <v>503</v>
      </c>
    </row>
    <row r="68" customFormat="false" ht="15" hidden="false" customHeight="false" outlineLevel="0" collapsed="false">
      <c r="A68" s="7" t="s">
        <v>359</v>
      </c>
      <c r="B68" s="7" t="s">
        <v>360</v>
      </c>
      <c r="C68" s="7" t="s">
        <v>361</v>
      </c>
      <c r="D68" s="7" t="s">
        <v>504</v>
      </c>
      <c r="E68" s="7" t="s">
        <v>157</v>
      </c>
      <c r="F68" s="7" t="s">
        <v>505</v>
      </c>
    </row>
    <row r="69" customFormat="false" ht="15" hidden="false" customHeight="false" outlineLevel="0" collapsed="false">
      <c r="A69" s="7" t="s">
        <v>359</v>
      </c>
      <c r="B69" s="7" t="s">
        <v>360</v>
      </c>
      <c r="C69" s="7" t="s">
        <v>361</v>
      </c>
      <c r="D69" s="7" t="s">
        <v>506</v>
      </c>
      <c r="E69" s="7" t="s">
        <v>242</v>
      </c>
      <c r="F69" s="7" t="s">
        <v>507</v>
      </c>
    </row>
    <row r="70" customFormat="false" ht="15" hidden="false" customHeight="false" outlineLevel="0" collapsed="false">
      <c r="A70" s="7" t="s">
        <v>359</v>
      </c>
      <c r="B70" s="7" t="s">
        <v>360</v>
      </c>
      <c r="C70" s="7" t="s">
        <v>361</v>
      </c>
      <c r="D70" s="7" t="s">
        <v>508</v>
      </c>
      <c r="E70" s="7" t="s">
        <v>109</v>
      </c>
      <c r="F70" s="7" t="s">
        <v>509</v>
      </c>
    </row>
    <row r="71" customFormat="false" ht="15" hidden="false" customHeight="false" outlineLevel="0" collapsed="false">
      <c r="A71" s="7" t="s">
        <v>359</v>
      </c>
      <c r="B71" s="7" t="s">
        <v>360</v>
      </c>
      <c r="C71" s="7" t="s">
        <v>361</v>
      </c>
      <c r="D71" s="7" t="s">
        <v>510</v>
      </c>
      <c r="E71" s="7" t="s">
        <v>169</v>
      </c>
      <c r="F71" s="7" t="s">
        <v>511</v>
      </c>
    </row>
    <row r="72" customFormat="false" ht="15" hidden="false" customHeight="false" outlineLevel="0" collapsed="false">
      <c r="A72" s="7" t="s">
        <v>359</v>
      </c>
      <c r="B72" s="7" t="s">
        <v>360</v>
      </c>
      <c r="C72" s="7" t="s">
        <v>361</v>
      </c>
      <c r="D72" s="7" t="s">
        <v>512</v>
      </c>
      <c r="E72" s="7" t="s">
        <v>252</v>
      </c>
      <c r="F72" s="7" t="s">
        <v>513</v>
      </c>
    </row>
    <row r="73" customFormat="false" ht="15" hidden="false" customHeight="false" outlineLevel="0" collapsed="false">
      <c r="A73" s="7" t="s">
        <v>359</v>
      </c>
      <c r="B73" s="7" t="s">
        <v>360</v>
      </c>
      <c r="C73" s="7" t="s">
        <v>361</v>
      </c>
      <c r="D73" s="7" t="s">
        <v>514</v>
      </c>
      <c r="E73" s="7" t="s">
        <v>298</v>
      </c>
      <c r="F73" s="7" t="s">
        <v>515</v>
      </c>
    </row>
    <row r="74" customFormat="false" ht="15" hidden="false" customHeight="false" outlineLevel="0" collapsed="false">
      <c r="A74" s="7" t="s">
        <v>359</v>
      </c>
      <c r="B74" s="7" t="s">
        <v>360</v>
      </c>
      <c r="C74" s="7" t="s">
        <v>361</v>
      </c>
      <c r="D74" s="7" t="s">
        <v>516</v>
      </c>
      <c r="E74" s="7" t="s">
        <v>122</v>
      </c>
      <c r="F74" s="7" t="s">
        <v>517</v>
      </c>
    </row>
    <row r="75" customFormat="false" ht="15" hidden="false" customHeight="false" outlineLevel="0" collapsed="false">
      <c r="A75" s="7" t="s">
        <v>359</v>
      </c>
      <c r="B75" s="7" t="s">
        <v>360</v>
      </c>
      <c r="C75" s="7" t="s">
        <v>361</v>
      </c>
      <c r="D75" s="7" t="s">
        <v>518</v>
      </c>
      <c r="E75" s="7" t="s">
        <v>346</v>
      </c>
      <c r="F75" s="7" t="s">
        <v>519</v>
      </c>
    </row>
    <row r="76" customFormat="false" ht="15" hidden="false" customHeight="false" outlineLevel="0" collapsed="false">
      <c r="A76" s="7" t="s">
        <v>359</v>
      </c>
      <c r="B76" s="7" t="s">
        <v>360</v>
      </c>
      <c r="C76" s="7" t="s">
        <v>361</v>
      </c>
      <c r="D76" s="7" t="s">
        <v>520</v>
      </c>
      <c r="E76" s="7" t="s">
        <v>309</v>
      </c>
      <c r="F76" s="7" t="s">
        <v>521</v>
      </c>
    </row>
    <row r="77" customFormat="false" ht="15" hidden="false" customHeight="false" outlineLevel="0" collapsed="false">
      <c r="A77" s="7" t="s">
        <v>359</v>
      </c>
      <c r="B77" s="7" t="s">
        <v>360</v>
      </c>
      <c r="C77" s="7" t="s">
        <v>361</v>
      </c>
      <c r="D77" s="7" t="s">
        <v>522</v>
      </c>
      <c r="E77" s="7" t="s">
        <v>133</v>
      </c>
      <c r="F77" s="7" t="s">
        <v>523</v>
      </c>
    </row>
    <row r="78" customFormat="false" ht="15" hidden="false" customHeight="false" outlineLevel="0" collapsed="false">
      <c r="A78" s="7" t="s">
        <v>359</v>
      </c>
      <c r="B78" s="7" t="s">
        <v>360</v>
      </c>
      <c r="C78" s="7" t="s">
        <v>361</v>
      </c>
      <c r="D78" s="7" t="s">
        <v>524</v>
      </c>
      <c r="E78" s="7" t="s">
        <v>322</v>
      </c>
      <c r="F78" s="7" t="s">
        <v>525</v>
      </c>
    </row>
    <row r="79" customFormat="false" ht="15" hidden="false" customHeight="false" outlineLevel="0" collapsed="false">
      <c r="A79" s="7" t="s">
        <v>359</v>
      </c>
      <c r="B79" s="7" t="s">
        <v>360</v>
      </c>
      <c r="C79" s="7" t="s">
        <v>361</v>
      </c>
      <c r="D79" s="7" t="s">
        <v>526</v>
      </c>
      <c r="E79" s="7" t="s">
        <v>340</v>
      </c>
      <c r="F79" s="7" t="s">
        <v>527</v>
      </c>
    </row>
    <row r="80" customFormat="false" ht="15" hidden="false" customHeight="false" outlineLevel="0" collapsed="false">
      <c r="A80" s="7" t="s">
        <v>359</v>
      </c>
      <c r="B80" s="7" t="s">
        <v>360</v>
      </c>
      <c r="C80" s="7" t="s">
        <v>361</v>
      </c>
      <c r="D80" s="7" t="s">
        <v>528</v>
      </c>
      <c r="E80" s="7" t="s">
        <v>137</v>
      </c>
      <c r="F80" s="7" t="s">
        <v>529</v>
      </c>
    </row>
    <row r="81" customFormat="false" ht="15" hidden="false" customHeight="false" outlineLevel="0" collapsed="false">
      <c r="A81" s="7" t="s">
        <v>359</v>
      </c>
      <c r="B81" s="7" t="s">
        <v>360</v>
      </c>
      <c r="C81" s="7" t="s">
        <v>361</v>
      </c>
      <c r="D81" s="7" t="s">
        <v>530</v>
      </c>
      <c r="E81" s="7" t="s">
        <v>205</v>
      </c>
      <c r="F81" s="7" t="s">
        <v>531</v>
      </c>
    </row>
    <row r="82" customFormat="false" ht="15" hidden="false" customHeight="false" outlineLevel="0" collapsed="false">
      <c r="A82" s="7" t="s">
        <v>359</v>
      </c>
      <c r="B82" s="7" t="s">
        <v>360</v>
      </c>
      <c r="C82" s="7" t="s">
        <v>361</v>
      </c>
      <c r="D82" s="7" t="s">
        <v>532</v>
      </c>
      <c r="E82" s="7" t="s">
        <v>258</v>
      </c>
      <c r="F82" s="7" t="s">
        <v>533</v>
      </c>
    </row>
    <row r="83" customFormat="false" ht="15" hidden="false" customHeight="false" outlineLevel="0" collapsed="false">
      <c r="A83" s="7" t="s">
        <v>359</v>
      </c>
      <c r="B83" s="7" t="s">
        <v>360</v>
      </c>
      <c r="C83" s="7" t="s">
        <v>361</v>
      </c>
      <c r="D83" s="7" t="s">
        <v>534</v>
      </c>
      <c r="E83" s="7" t="s">
        <v>220</v>
      </c>
      <c r="F83" s="7" t="s">
        <v>535</v>
      </c>
    </row>
    <row r="84" customFormat="false" ht="15" hidden="false" customHeight="false" outlineLevel="0" collapsed="false">
      <c r="A84" s="7" t="s">
        <v>359</v>
      </c>
      <c r="B84" s="7" t="s">
        <v>360</v>
      </c>
      <c r="C84" s="7" t="s">
        <v>361</v>
      </c>
      <c r="D84" s="7" t="s">
        <v>536</v>
      </c>
      <c r="E84" s="7" t="s">
        <v>142</v>
      </c>
      <c r="F84" s="7" t="s">
        <v>537</v>
      </c>
    </row>
    <row r="85" customFormat="false" ht="15" hidden="false" customHeight="false" outlineLevel="0" collapsed="false">
      <c r="A85" s="7" t="s">
        <v>359</v>
      </c>
      <c r="B85" s="7" t="s">
        <v>360</v>
      </c>
      <c r="C85" s="7" t="s">
        <v>361</v>
      </c>
      <c r="D85" s="7" t="s">
        <v>538</v>
      </c>
      <c r="E85" s="7" t="s">
        <v>169</v>
      </c>
      <c r="F85" s="7" t="s">
        <v>539</v>
      </c>
    </row>
    <row r="86" customFormat="false" ht="15" hidden="false" customHeight="false" outlineLevel="0" collapsed="false">
      <c r="A86" s="7" t="s">
        <v>359</v>
      </c>
      <c r="B86" s="7" t="s">
        <v>360</v>
      </c>
      <c r="C86" s="7" t="s">
        <v>361</v>
      </c>
      <c r="D86" s="7" t="s">
        <v>540</v>
      </c>
      <c r="E86" s="7" t="s">
        <v>159</v>
      </c>
      <c r="F86" s="7" t="s">
        <v>541</v>
      </c>
    </row>
    <row r="87" customFormat="false" ht="15" hidden="false" customHeight="false" outlineLevel="0" collapsed="false">
      <c r="A87" s="7" t="s">
        <v>359</v>
      </c>
      <c r="B87" s="7" t="s">
        <v>360</v>
      </c>
      <c r="C87" s="7" t="s">
        <v>361</v>
      </c>
      <c r="D87" s="7" t="s">
        <v>542</v>
      </c>
      <c r="E87" s="7" t="s">
        <v>285</v>
      </c>
      <c r="F87" s="7" t="s">
        <v>543</v>
      </c>
    </row>
    <row r="88" customFormat="false" ht="15" hidden="false" customHeight="false" outlineLevel="0" collapsed="false">
      <c r="A88" s="7" t="s">
        <v>359</v>
      </c>
      <c r="B88" s="7" t="s">
        <v>360</v>
      </c>
      <c r="C88" s="7" t="s">
        <v>361</v>
      </c>
      <c r="D88" s="7" t="s">
        <v>544</v>
      </c>
      <c r="E88" s="7" t="s">
        <v>65</v>
      </c>
      <c r="F88" s="7" t="s">
        <v>545</v>
      </c>
    </row>
    <row r="89" customFormat="false" ht="15" hidden="false" customHeight="false" outlineLevel="0" collapsed="false">
      <c r="A89" s="7" t="s">
        <v>359</v>
      </c>
      <c r="B89" s="7" t="s">
        <v>360</v>
      </c>
      <c r="C89" s="7" t="s">
        <v>361</v>
      </c>
      <c r="D89" s="7" t="s">
        <v>546</v>
      </c>
      <c r="E89" s="7" t="s">
        <v>173</v>
      </c>
      <c r="F89" s="7" t="s">
        <v>547</v>
      </c>
    </row>
    <row r="90" customFormat="false" ht="15" hidden="false" customHeight="false" outlineLevel="0" collapsed="false">
      <c r="A90" s="7" t="s">
        <v>359</v>
      </c>
      <c r="B90" s="7" t="s">
        <v>360</v>
      </c>
      <c r="C90" s="7" t="s">
        <v>361</v>
      </c>
      <c r="D90" s="7" t="s">
        <v>548</v>
      </c>
      <c r="E90" s="7" t="s">
        <v>242</v>
      </c>
      <c r="F90" s="7" t="s">
        <v>549</v>
      </c>
    </row>
    <row r="91" customFormat="false" ht="15" hidden="false" customHeight="false" outlineLevel="0" collapsed="false">
      <c r="A91" s="7" t="s">
        <v>359</v>
      </c>
      <c r="B91" s="7" t="s">
        <v>360</v>
      </c>
      <c r="C91" s="7" t="s">
        <v>361</v>
      </c>
      <c r="D91" s="7" t="s">
        <v>550</v>
      </c>
      <c r="E91" s="7" t="s">
        <v>197</v>
      </c>
      <c r="F91" s="7" t="s">
        <v>551</v>
      </c>
    </row>
    <row r="92" customFormat="false" ht="15" hidden="false" customHeight="false" outlineLevel="0" collapsed="false">
      <c r="A92" s="7" t="s">
        <v>359</v>
      </c>
      <c r="B92" s="7" t="s">
        <v>360</v>
      </c>
      <c r="C92" s="7" t="s">
        <v>361</v>
      </c>
      <c r="D92" s="7" t="s">
        <v>552</v>
      </c>
      <c r="E92" s="7" t="s">
        <v>238</v>
      </c>
      <c r="F92" s="7" t="s">
        <v>553</v>
      </c>
    </row>
    <row r="93" customFormat="false" ht="15" hidden="false" customHeight="false" outlineLevel="0" collapsed="false">
      <c r="A93" s="7" t="s">
        <v>359</v>
      </c>
      <c r="B93" s="7" t="s">
        <v>360</v>
      </c>
      <c r="C93" s="7" t="s">
        <v>361</v>
      </c>
      <c r="D93" s="7" t="s">
        <v>554</v>
      </c>
      <c r="E93" s="7" t="s">
        <v>56</v>
      </c>
      <c r="F93" s="7" t="s">
        <v>555</v>
      </c>
    </row>
    <row r="94" customFormat="false" ht="15" hidden="false" customHeight="false" outlineLevel="0" collapsed="false">
      <c r="A94" s="7" t="s">
        <v>359</v>
      </c>
      <c r="B94" s="7" t="s">
        <v>360</v>
      </c>
      <c r="C94" s="7" t="s">
        <v>361</v>
      </c>
      <c r="D94" s="7" t="s">
        <v>556</v>
      </c>
      <c r="E94" s="7" t="s">
        <v>94</v>
      </c>
      <c r="F94" s="7" t="s">
        <v>557</v>
      </c>
    </row>
    <row r="95" customFormat="false" ht="15" hidden="false" customHeight="false" outlineLevel="0" collapsed="false">
      <c r="A95" s="7" t="s">
        <v>359</v>
      </c>
      <c r="B95" s="7" t="s">
        <v>360</v>
      </c>
      <c r="C95" s="7" t="s">
        <v>361</v>
      </c>
      <c r="D95" s="7" t="s">
        <v>558</v>
      </c>
      <c r="E95" s="7" t="s">
        <v>115</v>
      </c>
      <c r="F95" s="7" t="s">
        <v>559</v>
      </c>
    </row>
    <row r="96" customFormat="false" ht="15" hidden="false" customHeight="false" outlineLevel="0" collapsed="false">
      <c r="A96" s="7" t="s">
        <v>359</v>
      </c>
      <c r="B96" s="7" t="s">
        <v>360</v>
      </c>
      <c r="C96" s="7" t="s">
        <v>361</v>
      </c>
      <c r="D96" s="7" t="s">
        <v>560</v>
      </c>
      <c r="E96" s="7" t="s">
        <v>188</v>
      </c>
      <c r="F96" s="7" t="s">
        <v>561</v>
      </c>
    </row>
    <row r="97" customFormat="false" ht="15" hidden="false" customHeight="false" outlineLevel="0" collapsed="false">
      <c r="A97" s="7" t="s">
        <v>359</v>
      </c>
      <c r="B97" s="7" t="s">
        <v>360</v>
      </c>
      <c r="C97" s="7" t="s">
        <v>361</v>
      </c>
      <c r="D97" s="7" t="s">
        <v>562</v>
      </c>
      <c r="E97" s="7" t="s">
        <v>266</v>
      </c>
      <c r="F97" s="7" t="s">
        <v>563</v>
      </c>
    </row>
    <row r="98" customFormat="false" ht="15" hidden="false" customHeight="false" outlineLevel="0" collapsed="false">
      <c r="A98" s="7" t="s">
        <v>359</v>
      </c>
      <c r="B98" s="7" t="s">
        <v>360</v>
      </c>
      <c r="C98" s="7" t="s">
        <v>361</v>
      </c>
      <c r="D98" s="7" t="s">
        <v>564</v>
      </c>
      <c r="E98" s="7" t="s">
        <v>207</v>
      </c>
      <c r="F98" s="7" t="s">
        <v>565</v>
      </c>
    </row>
    <row r="99" customFormat="false" ht="15" hidden="false" customHeight="false" outlineLevel="0" collapsed="false">
      <c r="A99" s="7" t="s">
        <v>359</v>
      </c>
      <c r="B99" s="7" t="s">
        <v>360</v>
      </c>
      <c r="C99" s="7" t="s">
        <v>361</v>
      </c>
      <c r="D99" s="7" t="s">
        <v>566</v>
      </c>
      <c r="E99" s="7" t="s">
        <v>312</v>
      </c>
      <c r="F99" s="7" t="s">
        <v>567</v>
      </c>
    </row>
    <row r="100" customFormat="false" ht="15" hidden="false" customHeight="false" outlineLevel="0" collapsed="false">
      <c r="A100" s="7" t="s">
        <v>359</v>
      </c>
      <c r="B100" s="7" t="s">
        <v>360</v>
      </c>
      <c r="C100" s="7" t="s">
        <v>361</v>
      </c>
      <c r="D100" s="7" t="s">
        <v>568</v>
      </c>
      <c r="E100" s="7" t="s">
        <v>235</v>
      </c>
      <c r="F100" s="7" t="s">
        <v>569</v>
      </c>
    </row>
    <row r="101" customFormat="false" ht="15" hidden="false" customHeight="false" outlineLevel="0" collapsed="false">
      <c r="A101" s="7" t="s">
        <v>359</v>
      </c>
      <c r="B101" s="7" t="s">
        <v>360</v>
      </c>
      <c r="C101" s="7" t="s">
        <v>361</v>
      </c>
      <c r="D101" s="7" t="s">
        <v>570</v>
      </c>
      <c r="E101" s="7" t="s">
        <v>173</v>
      </c>
      <c r="F101" s="7" t="s">
        <v>571</v>
      </c>
    </row>
    <row r="102" customFormat="false" ht="15" hidden="false" customHeight="false" outlineLevel="0" collapsed="false">
      <c r="A102" s="7" t="s">
        <v>359</v>
      </c>
      <c r="B102" s="7" t="s">
        <v>360</v>
      </c>
      <c r="C102" s="7" t="s">
        <v>361</v>
      </c>
      <c r="D102" s="7" t="s">
        <v>572</v>
      </c>
      <c r="E102" s="7" t="s">
        <v>267</v>
      </c>
      <c r="F102" s="7" t="s">
        <v>573</v>
      </c>
    </row>
    <row r="103" customFormat="false" ht="15" hidden="false" customHeight="false" outlineLevel="0" collapsed="false">
      <c r="A103" s="7" t="s">
        <v>359</v>
      </c>
      <c r="B103" s="7" t="s">
        <v>360</v>
      </c>
      <c r="C103" s="7" t="s">
        <v>361</v>
      </c>
      <c r="D103" s="7" t="s">
        <v>574</v>
      </c>
      <c r="E103" s="7" t="s">
        <v>98</v>
      </c>
      <c r="F103" s="7" t="s">
        <v>575</v>
      </c>
    </row>
    <row r="104" customFormat="false" ht="15" hidden="false" customHeight="false" outlineLevel="0" collapsed="false">
      <c r="A104" s="7" t="s">
        <v>359</v>
      </c>
      <c r="B104" s="7" t="s">
        <v>360</v>
      </c>
      <c r="C104" s="7" t="s">
        <v>361</v>
      </c>
      <c r="D104" s="7" t="s">
        <v>576</v>
      </c>
      <c r="E104" s="7" t="s">
        <v>178</v>
      </c>
      <c r="F104" s="7" t="s">
        <v>577</v>
      </c>
    </row>
    <row r="105" customFormat="false" ht="15" hidden="false" customHeight="false" outlineLevel="0" collapsed="false">
      <c r="A105" s="7" t="s">
        <v>359</v>
      </c>
      <c r="B105" s="7" t="s">
        <v>360</v>
      </c>
      <c r="C105" s="7" t="s">
        <v>361</v>
      </c>
      <c r="D105" s="7" t="s">
        <v>578</v>
      </c>
      <c r="E105" s="7" t="s">
        <v>215</v>
      </c>
      <c r="F105" s="7" t="s">
        <v>579</v>
      </c>
    </row>
    <row r="106" customFormat="false" ht="15" hidden="false" customHeight="false" outlineLevel="0" collapsed="false">
      <c r="A106" s="7" t="s">
        <v>359</v>
      </c>
      <c r="B106" s="7" t="s">
        <v>360</v>
      </c>
      <c r="C106" s="7" t="s">
        <v>361</v>
      </c>
      <c r="D106" s="7" t="s">
        <v>580</v>
      </c>
      <c r="E106" s="7" t="s">
        <v>285</v>
      </c>
      <c r="F106" s="7" t="s">
        <v>581</v>
      </c>
    </row>
    <row r="107" customFormat="false" ht="15" hidden="false" customHeight="false" outlineLevel="0" collapsed="false">
      <c r="A107" s="7" t="s">
        <v>359</v>
      </c>
      <c r="B107" s="7" t="s">
        <v>360</v>
      </c>
      <c r="C107" s="7" t="s">
        <v>361</v>
      </c>
      <c r="D107" s="7" t="s">
        <v>582</v>
      </c>
      <c r="E107" s="7" t="s">
        <v>305</v>
      </c>
      <c r="F107" s="7" t="s">
        <v>583</v>
      </c>
    </row>
    <row r="108" customFormat="false" ht="15" hidden="false" customHeight="false" outlineLevel="0" collapsed="false">
      <c r="A108" s="7" t="s">
        <v>359</v>
      </c>
      <c r="B108" s="7" t="s">
        <v>360</v>
      </c>
      <c r="C108" s="7" t="s">
        <v>361</v>
      </c>
      <c r="D108" s="7" t="s">
        <v>584</v>
      </c>
      <c r="E108" s="7" t="s">
        <v>203</v>
      </c>
      <c r="F108" s="7" t="s">
        <v>585</v>
      </c>
    </row>
    <row r="109" customFormat="false" ht="15" hidden="false" customHeight="false" outlineLevel="0" collapsed="false">
      <c r="A109" s="7" t="s">
        <v>359</v>
      </c>
      <c r="B109" s="7" t="s">
        <v>360</v>
      </c>
      <c r="C109" s="7" t="s">
        <v>361</v>
      </c>
      <c r="D109" s="7" t="s">
        <v>586</v>
      </c>
      <c r="E109" s="7" t="s">
        <v>267</v>
      </c>
      <c r="F109" s="7" t="s">
        <v>587</v>
      </c>
    </row>
    <row r="110" customFormat="false" ht="15" hidden="false" customHeight="false" outlineLevel="0" collapsed="false">
      <c r="A110" s="7" t="s">
        <v>359</v>
      </c>
      <c r="B110" s="7" t="s">
        <v>360</v>
      </c>
      <c r="C110" s="7" t="s">
        <v>361</v>
      </c>
      <c r="D110" s="7" t="s">
        <v>588</v>
      </c>
      <c r="E110" s="7" t="s">
        <v>56</v>
      </c>
      <c r="F110" s="7" t="s">
        <v>589</v>
      </c>
    </row>
    <row r="111" customFormat="false" ht="15" hidden="false" customHeight="false" outlineLevel="0" collapsed="false">
      <c r="A111" s="7" t="s">
        <v>359</v>
      </c>
      <c r="B111" s="7" t="s">
        <v>360</v>
      </c>
      <c r="C111" s="7" t="s">
        <v>361</v>
      </c>
      <c r="D111" s="7" t="s">
        <v>590</v>
      </c>
      <c r="E111" s="7" t="s">
        <v>338</v>
      </c>
      <c r="F111" s="7" t="s">
        <v>591</v>
      </c>
    </row>
    <row r="112" customFormat="false" ht="15" hidden="false" customHeight="false" outlineLevel="0" collapsed="false">
      <c r="A112" s="7" t="s">
        <v>359</v>
      </c>
      <c r="B112" s="7" t="s">
        <v>360</v>
      </c>
      <c r="C112" s="7" t="s">
        <v>361</v>
      </c>
      <c r="D112" s="7" t="s">
        <v>592</v>
      </c>
      <c r="E112" s="7" t="s">
        <v>238</v>
      </c>
      <c r="F112" s="7" t="s">
        <v>593</v>
      </c>
    </row>
    <row r="113" customFormat="false" ht="15" hidden="false" customHeight="false" outlineLevel="0" collapsed="false">
      <c r="A113" s="7" t="s">
        <v>359</v>
      </c>
      <c r="B113" s="7" t="s">
        <v>360</v>
      </c>
      <c r="C113" s="7" t="s">
        <v>361</v>
      </c>
      <c r="D113" s="7" t="s">
        <v>594</v>
      </c>
      <c r="E113" s="7" t="s">
        <v>54</v>
      </c>
      <c r="F113" s="7" t="s">
        <v>595</v>
      </c>
    </row>
    <row r="114" customFormat="false" ht="15" hidden="false" customHeight="false" outlineLevel="0" collapsed="false">
      <c r="A114" s="7" t="s">
        <v>359</v>
      </c>
      <c r="B114" s="7" t="s">
        <v>360</v>
      </c>
      <c r="C114" s="7" t="s">
        <v>361</v>
      </c>
      <c r="D114" s="7" t="s">
        <v>596</v>
      </c>
      <c r="E114" s="7" t="s">
        <v>131</v>
      </c>
      <c r="F114" s="7" t="s">
        <v>597</v>
      </c>
    </row>
    <row r="115" customFormat="false" ht="15" hidden="false" customHeight="false" outlineLevel="0" collapsed="false">
      <c r="A115" s="7" t="s">
        <v>359</v>
      </c>
      <c r="B115" s="7" t="s">
        <v>360</v>
      </c>
      <c r="C115" s="7" t="s">
        <v>361</v>
      </c>
      <c r="D115" s="7" t="s">
        <v>598</v>
      </c>
      <c r="E115" s="7" t="s">
        <v>118</v>
      </c>
      <c r="F115" s="7" t="s">
        <v>599</v>
      </c>
    </row>
    <row r="116" customFormat="false" ht="15" hidden="false" customHeight="false" outlineLevel="0" collapsed="false">
      <c r="A116" s="7" t="s">
        <v>359</v>
      </c>
      <c r="B116" s="7" t="s">
        <v>360</v>
      </c>
      <c r="C116" s="7" t="s">
        <v>361</v>
      </c>
      <c r="D116" s="7" t="s">
        <v>600</v>
      </c>
      <c r="E116" s="7" t="s">
        <v>343</v>
      </c>
      <c r="F116" s="7" t="s">
        <v>601</v>
      </c>
    </row>
    <row r="117" customFormat="false" ht="15" hidden="false" customHeight="false" outlineLevel="0" collapsed="false">
      <c r="A117" s="7" t="s">
        <v>359</v>
      </c>
      <c r="B117" s="7" t="s">
        <v>360</v>
      </c>
      <c r="C117" s="7" t="s">
        <v>361</v>
      </c>
      <c r="D117" s="7" t="s">
        <v>602</v>
      </c>
      <c r="E117" s="7" t="s">
        <v>148</v>
      </c>
      <c r="F117" s="7" t="s">
        <v>603</v>
      </c>
    </row>
    <row r="118" customFormat="false" ht="15" hidden="false" customHeight="false" outlineLevel="0" collapsed="false">
      <c r="A118" s="7" t="s">
        <v>359</v>
      </c>
      <c r="B118" s="7" t="s">
        <v>360</v>
      </c>
      <c r="C118" s="7" t="s">
        <v>361</v>
      </c>
      <c r="D118" s="7" t="s">
        <v>604</v>
      </c>
      <c r="E118" s="7" t="s">
        <v>302</v>
      </c>
      <c r="F118" s="7" t="s">
        <v>605</v>
      </c>
    </row>
    <row r="119" customFormat="false" ht="15" hidden="false" customHeight="false" outlineLevel="0" collapsed="false">
      <c r="A119" s="7" t="s">
        <v>359</v>
      </c>
      <c r="B119" s="7" t="s">
        <v>360</v>
      </c>
      <c r="C119" s="7" t="s">
        <v>361</v>
      </c>
      <c r="D119" s="7" t="s">
        <v>606</v>
      </c>
      <c r="E119" s="7" t="s">
        <v>237</v>
      </c>
      <c r="F119" s="7" t="s">
        <v>607</v>
      </c>
    </row>
    <row r="120" customFormat="false" ht="15" hidden="false" customHeight="false" outlineLevel="0" collapsed="false">
      <c r="A120" s="7" t="s">
        <v>359</v>
      </c>
      <c r="B120" s="7" t="s">
        <v>360</v>
      </c>
      <c r="C120" s="7" t="s">
        <v>361</v>
      </c>
      <c r="D120" s="7" t="s">
        <v>608</v>
      </c>
      <c r="E120" s="7" t="s">
        <v>196</v>
      </c>
      <c r="F120" s="7" t="s">
        <v>609</v>
      </c>
    </row>
    <row r="121" customFormat="false" ht="15" hidden="false" customHeight="false" outlineLevel="0" collapsed="false">
      <c r="A121" s="7" t="s">
        <v>359</v>
      </c>
      <c r="B121" s="7" t="s">
        <v>360</v>
      </c>
      <c r="C121" s="7" t="s">
        <v>361</v>
      </c>
      <c r="D121" s="7" t="s">
        <v>610</v>
      </c>
      <c r="E121" s="7" t="s">
        <v>140</v>
      </c>
      <c r="F121" s="7" t="s">
        <v>611</v>
      </c>
    </row>
    <row r="122" customFormat="false" ht="15" hidden="false" customHeight="false" outlineLevel="0" collapsed="false">
      <c r="A122" s="7" t="s">
        <v>359</v>
      </c>
      <c r="B122" s="7" t="s">
        <v>360</v>
      </c>
      <c r="C122" s="7" t="s">
        <v>361</v>
      </c>
      <c r="D122" s="7" t="s">
        <v>612</v>
      </c>
      <c r="E122" s="7" t="s">
        <v>260</v>
      </c>
      <c r="F122" s="7" t="s">
        <v>613</v>
      </c>
    </row>
    <row r="123" customFormat="false" ht="15" hidden="false" customHeight="false" outlineLevel="0" collapsed="false">
      <c r="A123" s="7" t="s">
        <v>359</v>
      </c>
      <c r="B123" s="7" t="s">
        <v>360</v>
      </c>
      <c r="C123" s="7" t="s">
        <v>361</v>
      </c>
      <c r="D123" s="7" t="s">
        <v>614</v>
      </c>
      <c r="E123" s="7" t="s">
        <v>312</v>
      </c>
      <c r="F123" s="7" t="s">
        <v>615</v>
      </c>
    </row>
    <row r="124" customFormat="false" ht="15" hidden="false" customHeight="false" outlineLevel="0" collapsed="false">
      <c r="A124" s="7" t="s">
        <v>359</v>
      </c>
      <c r="B124" s="7" t="s">
        <v>360</v>
      </c>
      <c r="C124" s="7" t="s">
        <v>361</v>
      </c>
      <c r="D124" s="7" t="s">
        <v>616</v>
      </c>
      <c r="E124" s="7" t="s">
        <v>291</v>
      </c>
      <c r="F124" s="7" t="s">
        <v>617</v>
      </c>
    </row>
    <row r="125" customFormat="false" ht="15" hidden="false" customHeight="false" outlineLevel="0" collapsed="false">
      <c r="A125" s="7" t="s">
        <v>359</v>
      </c>
      <c r="B125" s="7" t="s">
        <v>360</v>
      </c>
      <c r="C125" s="7" t="s">
        <v>361</v>
      </c>
      <c r="D125" s="7" t="s">
        <v>618</v>
      </c>
      <c r="E125" s="7" t="s">
        <v>256</v>
      </c>
      <c r="F125" s="7" t="s">
        <v>619</v>
      </c>
    </row>
    <row r="126" customFormat="false" ht="15" hidden="false" customHeight="false" outlineLevel="0" collapsed="false">
      <c r="A126" s="7" t="s">
        <v>359</v>
      </c>
      <c r="B126" s="7" t="s">
        <v>360</v>
      </c>
      <c r="C126" s="7" t="s">
        <v>361</v>
      </c>
      <c r="D126" s="7" t="s">
        <v>620</v>
      </c>
      <c r="E126" s="7" t="s">
        <v>137</v>
      </c>
      <c r="F126" s="7" t="s">
        <v>621</v>
      </c>
    </row>
    <row r="127" customFormat="false" ht="15" hidden="false" customHeight="false" outlineLevel="0" collapsed="false">
      <c r="A127" s="7" t="s">
        <v>359</v>
      </c>
      <c r="B127" s="7" t="s">
        <v>360</v>
      </c>
      <c r="C127" s="7" t="s">
        <v>361</v>
      </c>
      <c r="D127" s="7" t="s">
        <v>622</v>
      </c>
      <c r="E127" s="7" t="s">
        <v>209</v>
      </c>
      <c r="F127" s="7" t="s">
        <v>623</v>
      </c>
    </row>
    <row r="128" customFormat="false" ht="15" hidden="false" customHeight="false" outlineLevel="0" collapsed="false">
      <c r="A128" s="7" t="s">
        <v>359</v>
      </c>
      <c r="B128" s="7" t="s">
        <v>360</v>
      </c>
      <c r="C128" s="7" t="s">
        <v>361</v>
      </c>
      <c r="D128" s="7" t="s">
        <v>624</v>
      </c>
      <c r="E128" s="7" t="s">
        <v>149</v>
      </c>
      <c r="F128" s="7" t="s">
        <v>625</v>
      </c>
    </row>
    <row r="129" customFormat="false" ht="15" hidden="false" customHeight="false" outlineLevel="0" collapsed="false">
      <c r="A129" s="7" t="s">
        <v>359</v>
      </c>
      <c r="B129" s="7" t="s">
        <v>360</v>
      </c>
      <c r="C129" s="7" t="s">
        <v>361</v>
      </c>
      <c r="D129" s="7" t="s">
        <v>626</v>
      </c>
      <c r="E129" s="7" t="s">
        <v>47</v>
      </c>
      <c r="F129" s="7" t="s">
        <v>627</v>
      </c>
    </row>
    <row r="130" customFormat="false" ht="15" hidden="false" customHeight="false" outlineLevel="0" collapsed="false">
      <c r="A130" s="7" t="s">
        <v>359</v>
      </c>
      <c r="B130" s="7" t="s">
        <v>360</v>
      </c>
      <c r="C130" s="7" t="s">
        <v>361</v>
      </c>
      <c r="D130" s="7" t="s">
        <v>628</v>
      </c>
      <c r="E130" s="7" t="s">
        <v>316</v>
      </c>
      <c r="F130" s="7" t="s">
        <v>629</v>
      </c>
    </row>
    <row r="131" customFormat="false" ht="15" hidden="false" customHeight="false" outlineLevel="0" collapsed="false">
      <c r="A131" s="7" t="s">
        <v>359</v>
      </c>
      <c r="B131" s="7" t="s">
        <v>360</v>
      </c>
      <c r="C131" s="7" t="s">
        <v>361</v>
      </c>
      <c r="D131" s="7" t="s">
        <v>630</v>
      </c>
      <c r="E131" s="7" t="s">
        <v>122</v>
      </c>
      <c r="F131" s="7" t="s">
        <v>631</v>
      </c>
    </row>
    <row r="132" customFormat="false" ht="15" hidden="false" customHeight="false" outlineLevel="0" collapsed="false">
      <c r="A132" s="7" t="s">
        <v>359</v>
      </c>
      <c r="B132" s="7" t="s">
        <v>360</v>
      </c>
      <c r="C132" s="7" t="s">
        <v>361</v>
      </c>
      <c r="D132" s="7" t="s">
        <v>632</v>
      </c>
      <c r="E132" s="7" t="s">
        <v>325</v>
      </c>
      <c r="F132" s="7" t="s">
        <v>633</v>
      </c>
    </row>
    <row r="133" customFormat="false" ht="15" hidden="false" customHeight="false" outlineLevel="0" collapsed="false">
      <c r="A133" s="7" t="s">
        <v>359</v>
      </c>
      <c r="B133" s="7" t="s">
        <v>360</v>
      </c>
      <c r="C133" s="7" t="s">
        <v>361</v>
      </c>
      <c r="D133" s="7" t="s">
        <v>634</v>
      </c>
      <c r="E133" s="7" t="s">
        <v>108</v>
      </c>
      <c r="F133" s="7" t="s">
        <v>635</v>
      </c>
    </row>
    <row r="134" customFormat="false" ht="15" hidden="false" customHeight="false" outlineLevel="0" collapsed="false">
      <c r="A134" s="7" t="s">
        <v>359</v>
      </c>
      <c r="B134" s="7" t="s">
        <v>360</v>
      </c>
      <c r="C134" s="7" t="s">
        <v>361</v>
      </c>
      <c r="D134" s="7" t="s">
        <v>636</v>
      </c>
      <c r="E134" s="7" t="s">
        <v>243</v>
      </c>
      <c r="F134" s="7" t="s">
        <v>637</v>
      </c>
    </row>
    <row r="135" customFormat="false" ht="15" hidden="false" customHeight="false" outlineLevel="0" collapsed="false">
      <c r="A135" s="7" t="s">
        <v>359</v>
      </c>
      <c r="B135" s="7" t="s">
        <v>360</v>
      </c>
      <c r="C135" s="7" t="s">
        <v>361</v>
      </c>
      <c r="D135" s="7" t="s">
        <v>638</v>
      </c>
      <c r="E135" s="7" t="s">
        <v>312</v>
      </c>
      <c r="F135" s="7" t="s">
        <v>639</v>
      </c>
    </row>
    <row r="136" customFormat="false" ht="15" hidden="false" customHeight="false" outlineLevel="0" collapsed="false">
      <c r="A136" s="7" t="s">
        <v>359</v>
      </c>
      <c r="B136" s="7" t="s">
        <v>360</v>
      </c>
      <c r="C136" s="7" t="s">
        <v>361</v>
      </c>
      <c r="D136" s="7" t="s">
        <v>640</v>
      </c>
      <c r="E136" s="7" t="s">
        <v>226</v>
      </c>
      <c r="F136" s="7" t="s">
        <v>641</v>
      </c>
    </row>
    <row r="137" customFormat="false" ht="15" hidden="false" customHeight="false" outlineLevel="0" collapsed="false">
      <c r="A137" s="7" t="s">
        <v>359</v>
      </c>
      <c r="B137" s="7" t="s">
        <v>360</v>
      </c>
      <c r="C137" s="7" t="s">
        <v>361</v>
      </c>
      <c r="D137" s="7" t="s">
        <v>642</v>
      </c>
      <c r="E137" s="7" t="s">
        <v>322</v>
      </c>
      <c r="F137" s="7" t="s">
        <v>643</v>
      </c>
    </row>
    <row r="138" customFormat="false" ht="15" hidden="false" customHeight="false" outlineLevel="0" collapsed="false">
      <c r="A138" s="7" t="s">
        <v>359</v>
      </c>
      <c r="B138" s="7" t="s">
        <v>360</v>
      </c>
      <c r="C138" s="7" t="s">
        <v>361</v>
      </c>
      <c r="D138" s="7" t="s">
        <v>644</v>
      </c>
      <c r="E138" s="7" t="s">
        <v>138</v>
      </c>
      <c r="F138" s="7" t="s">
        <v>645</v>
      </c>
    </row>
    <row r="139" customFormat="false" ht="15" hidden="false" customHeight="false" outlineLevel="0" collapsed="false">
      <c r="A139" s="7" t="s">
        <v>359</v>
      </c>
      <c r="B139" s="7" t="s">
        <v>360</v>
      </c>
      <c r="C139" s="7" t="s">
        <v>361</v>
      </c>
      <c r="D139" s="7" t="s">
        <v>646</v>
      </c>
      <c r="E139" s="7" t="s">
        <v>149</v>
      </c>
      <c r="F139" s="7" t="s">
        <v>647</v>
      </c>
    </row>
    <row r="140" customFormat="false" ht="15" hidden="false" customHeight="false" outlineLevel="0" collapsed="false">
      <c r="A140" s="7" t="s">
        <v>359</v>
      </c>
      <c r="B140" s="7" t="s">
        <v>360</v>
      </c>
      <c r="C140" s="7" t="s">
        <v>361</v>
      </c>
      <c r="D140" s="7" t="s">
        <v>648</v>
      </c>
      <c r="E140" s="7" t="s">
        <v>307</v>
      </c>
      <c r="F140" s="7" t="s">
        <v>649</v>
      </c>
    </row>
    <row r="141" customFormat="false" ht="15" hidden="false" customHeight="false" outlineLevel="0" collapsed="false">
      <c r="A141" s="7" t="s">
        <v>359</v>
      </c>
      <c r="B141" s="7" t="s">
        <v>360</v>
      </c>
      <c r="C141" s="7" t="s">
        <v>361</v>
      </c>
      <c r="D141" s="7" t="s">
        <v>650</v>
      </c>
      <c r="E141" s="7" t="s">
        <v>216</v>
      </c>
      <c r="F141" s="7" t="s">
        <v>651</v>
      </c>
    </row>
    <row r="142" customFormat="false" ht="15" hidden="false" customHeight="false" outlineLevel="0" collapsed="false">
      <c r="A142" s="7" t="s">
        <v>359</v>
      </c>
      <c r="B142" s="7" t="s">
        <v>360</v>
      </c>
      <c r="C142" s="7" t="s">
        <v>361</v>
      </c>
      <c r="D142" s="7" t="s">
        <v>652</v>
      </c>
      <c r="E142" s="7" t="s">
        <v>171</v>
      </c>
      <c r="F142" s="7" t="s">
        <v>653</v>
      </c>
    </row>
    <row r="143" customFormat="false" ht="15" hidden="false" customHeight="false" outlineLevel="0" collapsed="false">
      <c r="A143" s="7" t="s">
        <v>359</v>
      </c>
      <c r="B143" s="7" t="s">
        <v>360</v>
      </c>
      <c r="C143" s="7" t="s">
        <v>361</v>
      </c>
      <c r="D143" s="7" t="s">
        <v>654</v>
      </c>
      <c r="E143" s="7" t="s">
        <v>75</v>
      </c>
      <c r="F143" s="7" t="s">
        <v>655</v>
      </c>
    </row>
    <row r="144" customFormat="false" ht="15" hidden="false" customHeight="false" outlineLevel="0" collapsed="false">
      <c r="A144" s="7" t="s">
        <v>359</v>
      </c>
      <c r="B144" s="7" t="s">
        <v>360</v>
      </c>
      <c r="C144" s="7" t="s">
        <v>361</v>
      </c>
      <c r="D144" s="7" t="s">
        <v>656</v>
      </c>
      <c r="E144" s="7" t="s">
        <v>56</v>
      </c>
      <c r="F144" s="7" t="s">
        <v>657</v>
      </c>
    </row>
    <row r="145" customFormat="false" ht="15" hidden="false" customHeight="false" outlineLevel="0" collapsed="false">
      <c r="A145" s="7" t="s">
        <v>359</v>
      </c>
      <c r="B145" s="7" t="s">
        <v>360</v>
      </c>
      <c r="C145" s="7" t="s">
        <v>361</v>
      </c>
      <c r="D145" s="7" t="s">
        <v>658</v>
      </c>
      <c r="E145" s="7" t="s">
        <v>327</v>
      </c>
      <c r="F145" s="7" t="s">
        <v>659</v>
      </c>
    </row>
    <row r="146" customFormat="false" ht="15" hidden="false" customHeight="false" outlineLevel="0" collapsed="false">
      <c r="A146" s="7" t="s">
        <v>359</v>
      </c>
      <c r="B146" s="7" t="s">
        <v>360</v>
      </c>
      <c r="C146" s="7" t="s">
        <v>361</v>
      </c>
      <c r="D146" s="7" t="s">
        <v>660</v>
      </c>
      <c r="E146" s="7" t="s">
        <v>242</v>
      </c>
      <c r="F146" s="7" t="s">
        <v>661</v>
      </c>
    </row>
    <row r="147" customFormat="false" ht="15" hidden="false" customHeight="false" outlineLevel="0" collapsed="false">
      <c r="A147" s="7" t="s">
        <v>359</v>
      </c>
      <c r="B147" s="7" t="s">
        <v>360</v>
      </c>
      <c r="C147" s="7" t="s">
        <v>361</v>
      </c>
      <c r="D147" s="7" t="s">
        <v>662</v>
      </c>
      <c r="E147" s="7" t="s">
        <v>69</v>
      </c>
      <c r="F147" s="7" t="s">
        <v>663</v>
      </c>
    </row>
    <row r="148" customFormat="false" ht="15" hidden="false" customHeight="false" outlineLevel="0" collapsed="false">
      <c r="A148" s="7" t="s">
        <v>359</v>
      </c>
      <c r="B148" s="7" t="s">
        <v>360</v>
      </c>
      <c r="C148" s="7" t="s">
        <v>361</v>
      </c>
      <c r="D148" s="7" t="s">
        <v>664</v>
      </c>
      <c r="E148" s="7" t="s">
        <v>98</v>
      </c>
      <c r="F148" s="7" t="s">
        <v>665</v>
      </c>
    </row>
    <row r="149" customFormat="false" ht="15" hidden="false" customHeight="false" outlineLevel="0" collapsed="false">
      <c r="A149" s="7" t="s">
        <v>359</v>
      </c>
      <c r="B149" s="7" t="s">
        <v>360</v>
      </c>
      <c r="C149" s="7" t="s">
        <v>361</v>
      </c>
      <c r="D149" s="7" t="s">
        <v>666</v>
      </c>
      <c r="E149" s="7" t="s">
        <v>148</v>
      </c>
      <c r="F149" s="7" t="s">
        <v>667</v>
      </c>
    </row>
    <row r="150" customFormat="false" ht="15" hidden="false" customHeight="false" outlineLevel="0" collapsed="false">
      <c r="A150" s="7" t="s">
        <v>359</v>
      </c>
      <c r="B150" s="7" t="s">
        <v>360</v>
      </c>
      <c r="C150" s="7" t="s">
        <v>361</v>
      </c>
      <c r="D150" s="7" t="s">
        <v>668</v>
      </c>
      <c r="E150" s="7" t="s">
        <v>47</v>
      </c>
      <c r="F150" s="7" t="s">
        <v>669</v>
      </c>
    </row>
    <row r="151" customFormat="false" ht="15" hidden="false" customHeight="false" outlineLevel="0" collapsed="false">
      <c r="A151" s="7" t="s">
        <v>359</v>
      </c>
      <c r="B151" s="7" t="s">
        <v>360</v>
      </c>
      <c r="C151" s="7" t="s">
        <v>361</v>
      </c>
      <c r="D151" s="7" t="s">
        <v>670</v>
      </c>
      <c r="E151" s="7" t="s">
        <v>128</v>
      </c>
      <c r="F151" s="7" t="s">
        <v>671</v>
      </c>
    </row>
    <row r="152" customFormat="false" ht="15" hidden="false" customHeight="false" outlineLevel="0" collapsed="false">
      <c r="A152" s="7" t="s">
        <v>359</v>
      </c>
      <c r="B152" s="7" t="s">
        <v>360</v>
      </c>
      <c r="C152" s="7" t="s">
        <v>361</v>
      </c>
      <c r="D152" s="7" t="s">
        <v>672</v>
      </c>
      <c r="E152" s="7" t="s">
        <v>271</v>
      </c>
      <c r="F152" s="7" t="s">
        <v>673</v>
      </c>
    </row>
    <row r="153" customFormat="false" ht="15" hidden="false" customHeight="false" outlineLevel="0" collapsed="false">
      <c r="A153" s="7" t="s">
        <v>359</v>
      </c>
      <c r="B153" s="7" t="s">
        <v>360</v>
      </c>
      <c r="C153" s="7" t="s">
        <v>361</v>
      </c>
      <c r="D153" s="7" t="s">
        <v>674</v>
      </c>
      <c r="E153" s="7" t="s">
        <v>273</v>
      </c>
      <c r="F153" s="7" t="s">
        <v>675</v>
      </c>
    </row>
    <row r="154" customFormat="false" ht="15" hidden="false" customHeight="false" outlineLevel="0" collapsed="false">
      <c r="A154" s="7" t="s">
        <v>359</v>
      </c>
      <c r="B154" s="7" t="s">
        <v>360</v>
      </c>
      <c r="C154" s="7" t="s">
        <v>361</v>
      </c>
      <c r="D154" s="7" t="s">
        <v>676</v>
      </c>
      <c r="E154" s="7" t="s">
        <v>270</v>
      </c>
      <c r="F154" s="7" t="s">
        <v>677</v>
      </c>
    </row>
    <row r="155" customFormat="false" ht="15" hidden="false" customHeight="false" outlineLevel="0" collapsed="false">
      <c r="A155" s="7" t="s">
        <v>359</v>
      </c>
      <c r="B155" s="7" t="s">
        <v>360</v>
      </c>
      <c r="C155" s="7" t="s">
        <v>361</v>
      </c>
      <c r="D155" s="7" t="s">
        <v>678</v>
      </c>
      <c r="E155" s="7" t="s">
        <v>178</v>
      </c>
      <c r="F155" s="7" t="s">
        <v>679</v>
      </c>
    </row>
    <row r="156" customFormat="false" ht="15" hidden="false" customHeight="false" outlineLevel="0" collapsed="false">
      <c r="A156" s="7" t="s">
        <v>359</v>
      </c>
      <c r="B156" s="7" t="s">
        <v>360</v>
      </c>
      <c r="C156" s="7" t="s">
        <v>361</v>
      </c>
      <c r="D156" s="7" t="s">
        <v>680</v>
      </c>
      <c r="E156" s="7" t="s">
        <v>126</v>
      </c>
      <c r="F156" s="7" t="s">
        <v>681</v>
      </c>
    </row>
    <row r="157" customFormat="false" ht="15" hidden="false" customHeight="false" outlineLevel="0" collapsed="false">
      <c r="A157" s="7" t="s">
        <v>359</v>
      </c>
      <c r="B157" s="7" t="s">
        <v>360</v>
      </c>
      <c r="C157" s="7" t="s">
        <v>361</v>
      </c>
      <c r="D157" s="7" t="s">
        <v>682</v>
      </c>
      <c r="E157" s="7" t="s">
        <v>229</v>
      </c>
      <c r="F157" s="7" t="s">
        <v>683</v>
      </c>
    </row>
    <row r="158" customFormat="false" ht="15" hidden="false" customHeight="false" outlineLevel="0" collapsed="false">
      <c r="A158" s="7" t="s">
        <v>359</v>
      </c>
      <c r="B158" s="7" t="s">
        <v>360</v>
      </c>
      <c r="C158" s="7" t="s">
        <v>361</v>
      </c>
      <c r="D158" s="7" t="s">
        <v>684</v>
      </c>
      <c r="E158" s="7" t="s">
        <v>273</v>
      </c>
      <c r="F158" s="7" t="s">
        <v>685</v>
      </c>
    </row>
    <row r="159" customFormat="false" ht="15" hidden="false" customHeight="false" outlineLevel="0" collapsed="false">
      <c r="A159" s="7" t="s">
        <v>359</v>
      </c>
      <c r="B159" s="7" t="s">
        <v>360</v>
      </c>
      <c r="C159" s="7" t="s">
        <v>361</v>
      </c>
      <c r="D159" s="7" t="s">
        <v>686</v>
      </c>
      <c r="E159" s="7" t="s">
        <v>102</v>
      </c>
      <c r="F159" s="7" t="s">
        <v>687</v>
      </c>
    </row>
    <row r="160" customFormat="false" ht="15" hidden="false" customHeight="false" outlineLevel="0" collapsed="false">
      <c r="A160" s="7" t="s">
        <v>359</v>
      </c>
      <c r="B160" s="7" t="s">
        <v>360</v>
      </c>
      <c r="C160" s="7" t="s">
        <v>361</v>
      </c>
      <c r="D160" s="7" t="s">
        <v>688</v>
      </c>
      <c r="E160" s="7" t="s">
        <v>140</v>
      </c>
      <c r="F160" s="7" t="s">
        <v>689</v>
      </c>
    </row>
    <row r="161" customFormat="false" ht="15" hidden="false" customHeight="false" outlineLevel="0" collapsed="false">
      <c r="A161" s="7" t="s">
        <v>359</v>
      </c>
      <c r="B161" s="7" t="s">
        <v>360</v>
      </c>
      <c r="C161" s="7" t="s">
        <v>361</v>
      </c>
      <c r="D161" s="7" t="s">
        <v>690</v>
      </c>
      <c r="E161" s="7" t="s">
        <v>194</v>
      </c>
      <c r="F161" s="7" t="s">
        <v>691</v>
      </c>
    </row>
    <row r="162" customFormat="false" ht="15" hidden="false" customHeight="false" outlineLevel="0" collapsed="false">
      <c r="A162" s="7" t="s">
        <v>359</v>
      </c>
      <c r="B162" s="7" t="s">
        <v>360</v>
      </c>
      <c r="C162" s="7" t="s">
        <v>361</v>
      </c>
      <c r="D162" s="7" t="s">
        <v>692</v>
      </c>
      <c r="E162" s="7" t="s">
        <v>327</v>
      </c>
      <c r="F162" s="7" t="s">
        <v>693</v>
      </c>
    </row>
    <row r="163" customFormat="false" ht="15" hidden="false" customHeight="false" outlineLevel="0" collapsed="false">
      <c r="A163" s="7" t="s">
        <v>359</v>
      </c>
      <c r="B163" s="7" t="s">
        <v>360</v>
      </c>
      <c r="C163" s="7" t="s">
        <v>361</v>
      </c>
      <c r="D163" s="7" t="s">
        <v>694</v>
      </c>
      <c r="E163" s="7" t="s">
        <v>250</v>
      </c>
      <c r="F163" s="7" t="s">
        <v>695</v>
      </c>
    </row>
    <row r="164" customFormat="false" ht="15" hidden="false" customHeight="false" outlineLevel="0" collapsed="false">
      <c r="A164" s="7" t="s">
        <v>359</v>
      </c>
      <c r="B164" s="7" t="s">
        <v>360</v>
      </c>
      <c r="C164" s="7" t="s">
        <v>361</v>
      </c>
      <c r="D164" s="7" t="s">
        <v>696</v>
      </c>
      <c r="E164" s="7" t="s">
        <v>305</v>
      </c>
      <c r="F164" s="7" t="s">
        <v>697</v>
      </c>
    </row>
    <row r="165" customFormat="false" ht="15" hidden="false" customHeight="false" outlineLevel="0" collapsed="false">
      <c r="A165" s="7" t="s">
        <v>359</v>
      </c>
      <c r="B165" s="7" t="s">
        <v>360</v>
      </c>
      <c r="C165" s="7" t="s">
        <v>361</v>
      </c>
      <c r="D165" s="7" t="s">
        <v>698</v>
      </c>
      <c r="E165" s="7" t="s">
        <v>43</v>
      </c>
      <c r="F165" s="7" t="s">
        <v>699</v>
      </c>
    </row>
    <row r="166" customFormat="false" ht="15" hidden="false" customHeight="false" outlineLevel="0" collapsed="false">
      <c r="A166" s="7" t="s">
        <v>359</v>
      </c>
      <c r="B166" s="7" t="s">
        <v>360</v>
      </c>
      <c r="C166" s="7" t="s">
        <v>361</v>
      </c>
      <c r="D166" s="7" t="s">
        <v>700</v>
      </c>
      <c r="E166" s="7" t="s">
        <v>338</v>
      </c>
      <c r="F166" s="7" t="s">
        <v>701</v>
      </c>
    </row>
    <row r="167" customFormat="false" ht="15" hidden="false" customHeight="false" outlineLevel="0" collapsed="false">
      <c r="A167" s="7" t="s">
        <v>359</v>
      </c>
      <c r="B167" s="7" t="s">
        <v>360</v>
      </c>
      <c r="C167" s="7" t="s">
        <v>361</v>
      </c>
      <c r="D167" s="7" t="s">
        <v>702</v>
      </c>
      <c r="E167" s="7" t="s">
        <v>303</v>
      </c>
      <c r="F167" s="7" t="s">
        <v>703</v>
      </c>
    </row>
    <row r="168" customFormat="false" ht="15" hidden="false" customHeight="false" outlineLevel="0" collapsed="false">
      <c r="A168" s="7" t="s">
        <v>359</v>
      </c>
      <c r="B168" s="7" t="s">
        <v>360</v>
      </c>
      <c r="C168" s="7" t="s">
        <v>361</v>
      </c>
      <c r="D168" s="7" t="s">
        <v>704</v>
      </c>
      <c r="E168" s="7" t="s">
        <v>163</v>
      </c>
      <c r="F168" s="7" t="s">
        <v>705</v>
      </c>
    </row>
    <row r="169" customFormat="false" ht="15" hidden="false" customHeight="false" outlineLevel="0" collapsed="false">
      <c r="A169" s="7" t="s">
        <v>359</v>
      </c>
      <c r="B169" s="7" t="s">
        <v>360</v>
      </c>
      <c r="C169" s="7" t="s">
        <v>361</v>
      </c>
      <c r="D169" s="7" t="s">
        <v>706</v>
      </c>
      <c r="E169" s="7" t="s">
        <v>216</v>
      </c>
      <c r="F169" s="7" t="s">
        <v>707</v>
      </c>
    </row>
    <row r="170" customFormat="false" ht="15" hidden="false" customHeight="false" outlineLevel="0" collapsed="false">
      <c r="A170" s="7" t="s">
        <v>359</v>
      </c>
      <c r="B170" s="7" t="s">
        <v>360</v>
      </c>
      <c r="C170" s="7" t="s">
        <v>361</v>
      </c>
      <c r="D170" s="7" t="s">
        <v>708</v>
      </c>
      <c r="E170" s="7" t="s">
        <v>137</v>
      </c>
      <c r="F170" s="7" t="s">
        <v>709</v>
      </c>
    </row>
    <row r="171" customFormat="false" ht="15" hidden="false" customHeight="false" outlineLevel="0" collapsed="false">
      <c r="A171" s="7" t="s">
        <v>359</v>
      </c>
      <c r="B171" s="7" t="s">
        <v>360</v>
      </c>
      <c r="C171" s="7" t="s">
        <v>361</v>
      </c>
      <c r="D171" s="7" t="s">
        <v>710</v>
      </c>
      <c r="E171" s="7" t="s">
        <v>240</v>
      </c>
      <c r="F171" s="7" t="s">
        <v>711</v>
      </c>
    </row>
    <row r="172" customFormat="false" ht="15" hidden="false" customHeight="false" outlineLevel="0" collapsed="false">
      <c r="A172" s="7" t="s">
        <v>359</v>
      </c>
      <c r="B172" s="7" t="s">
        <v>360</v>
      </c>
      <c r="C172" s="7" t="s">
        <v>361</v>
      </c>
      <c r="D172" s="7" t="s">
        <v>712</v>
      </c>
      <c r="E172" s="7" t="s">
        <v>138</v>
      </c>
      <c r="F172" s="7" t="s">
        <v>713</v>
      </c>
    </row>
    <row r="173" customFormat="false" ht="15" hidden="false" customHeight="false" outlineLevel="0" collapsed="false">
      <c r="A173" s="7" t="s">
        <v>359</v>
      </c>
      <c r="B173" s="7" t="s">
        <v>360</v>
      </c>
      <c r="C173" s="7" t="s">
        <v>361</v>
      </c>
      <c r="D173" s="7" t="s">
        <v>714</v>
      </c>
      <c r="E173" s="7" t="s">
        <v>130</v>
      </c>
      <c r="F173" s="7" t="s">
        <v>715</v>
      </c>
    </row>
    <row r="174" customFormat="false" ht="15" hidden="false" customHeight="false" outlineLevel="0" collapsed="false">
      <c r="A174" s="7" t="s">
        <v>359</v>
      </c>
      <c r="B174" s="7" t="s">
        <v>360</v>
      </c>
      <c r="C174" s="7" t="s">
        <v>361</v>
      </c>
      <c r="D174" s="7" t="s">
        <v>716</v>
      </c>
      <c r="E174" s="7" t="s">
        <v>81</v>
      </c>
      <c r="F174" s="7" t="s">
        <v>717</v>
      </c>
    </row>
    <row r="175" customFormat="false" ht="15" hidden="false" customHeight="false" outlineLevel="0" collapsed="false">
      <c r="A175" s="7" t="s">
        <v>359</v>
      </c>
      <c r="B175" s="7" t="s">
        <v>360</v>
      </c>
      <c r="C175" s="7" t="s">
        <v>361</v>
      </c>
      <c r="D175" s="7" t="s">
        <v>718</v>
      </c>
      <c r="E175" s="7" t="s">
        <v>63</v>
      </c>
      <c r="F175" s="7" t="s">
        <v>719</v>
      </c>
    </row>
    <row r="176" customFormat="false" ht="15" hidden="false" customHeight="false" outlineLevel="0" collapsed="false">
      <c r="A176" s="7" t="s">
        <v>359</v>
      </c>
      <c r="B176" s="7" t="s">
        <v>360</v>
      </c>
      <c r="C176" s="7" t="s">
        <v>361</v>
      </c>
      <c r="D176" s="7" t="s">
        <v>720</v>
      </c>
      <c r="E176" s="7" t="s">
        <v>229</v>
      </c>
      <c r="F176" s="7" t="s">
        <v>721</v>
      </c>
    </row>
    <row r="177" customFormat="false" ht="15" hidden="false" customHeight="false" outlineLevel="0" collapsed="false">
      <c r="A177" s="7" t="s">
        <v>359</v>
      </c>
      <c r="B177" s="7" t="s">
        <v>360</v>
      </c>
      <c r="C177" s="7" t="s">
        <v>361</v>
      </c>
      <c r="D177" s="7" t="s">
        <v>722</v>
      </c>
      <c r="E177" s="7" t="s">
        <v>27</v>
      </c>
      <c r="F177" s="7" t="s">
        <v>723</v>
      </c>
    </row>
    <row r="178" customFormat="false" ht="15" hidden="false" customHeight="false" outlineLevel="0" collapsed="false">
      <c r="A178" s="7" t="s">
        <v>359</v>
      </c>
      <c r="B178" s="7" t="s">
        <v>360</v>
      </c>
      <c r="C178" s="7" t="s">
        <v>361</v>
      </c>
      <c r="D178" s="7" t="s">
        <v>724</v>
      </c>
      <c r="E178" s="7" t="s">
        <v>266</v>
      </c>
      <c r="F178" s="7" t="s">
        <v>725</v>
      </c>
    </row>
    <row r="179" customFormat="false" ht="15" hidden="false" customHeight="false" outlineLevel="0" collapsed="false">
      <c r="A179" s="7" t="s">
        <v>359</v>
      </c>
      <c r="B179" s="7" t="s">
        <v>360</v>
      </c>
      <c r="C179" s="7" t="s">
        <v>361</v>
      </c>
      <c r="D179" s="7" t="s">
        <v>726</v>
      </c>
      <c r="E179" s="7" t="s">
        <v>45</v>
      </c>
      <c r="F179" s="7" t="s">
        <v>727</v>
      </c>
    </row>
    <row r="180" customFormat="false" ht="15" hidden="false" customHeight="false" outlineLevel="0" collapsed="false">
      <c r="A180" s="7" t="s">
        <v>359</v>
      </c>
      <c r="B180" s="7" t="s">
        <v>360</v>
      </c>
      <c r="C180" s="7" t="s">
        <v>361</v>
      </c>
      <c r="D180" s="7" t="s">
        <v>728</v>
      </c>
      <c r="E180" s="7" t="s">
        <v>100</v>
      </c>
      <c r="F180" s="7" t="s">
        <v>729</v>
      </c>
    </row>
    <row r="181" customFormat="false" ht="15" hidden="false" customHeight="false" outlineLevel="0" collapsed="false">
      <c r="A181" s="7" t="s">
        <v>359</v>
      </c>
      <c r="B181" s="7" t="s">
        <v>360</v>
      </c>
      <c r="C181" s="7" t="s">
        <v>361</v>
      </c>
      <c r="D181" s="7" t="s">
        <v>730</v>
      </c>
      <c r="E181" s="7" t="s">
        <v>94</v>
      </c>
      <c r="F181" s="7" t="s">
        <v>731</v>
      </c>
    </row>
    <row r="182" customFormat="false" ht="15" hidden="false" customHeight="false" outlineLevel="0" collapsed="false">
      <c r="A182" s="7" t="s">
        <v>359</v>
      </c>
      <c r="B182" s="7" t="s">
        <v>360</v>
      </c>
      <c r="C182" s="7" t="s">
        <v>361</v>
      </c>
      <c r="D182" s="7" t="s">
        <v>732</v>
      </c>
      <c r="E182" s="7" t="s">
        <v>157</v>
      </c>
      <c r="F182" s="7" t="s">
        <v>733</v>
      </c>
    </row>
    <row r="183" customFormat="false" ht="15" hidden="false" customHeight="false" outlineLevel="0" collapsed="false">
      <c r="A183" s="7" t="s">
        <v>359</v>
      </c>
      <c r="B183" s="7" t="s">
        <v>360</v>
      </c>
      <c r="C183" s="7" t="s">
        <v>361</v>
      </c>
      <c r="D183" s="7" t="s">
        <v>734</v>
      </c>
      <c r="E183" s="7" t="s">
        <v>314</v>
      </c>
      <c r="F183" s="7" t="s">
        <v>735</v>
      </c>
    </row>
    <row r="184" customFormat="false" ht="15" hidden="false" customHeight="false" outlineLevel="0" collapsed="false">
      <c r="A184" s="7" t="s">
        <v>359</v>
      </c>
      <c r="B184" s="7" t="s">
        <v>360</v>
      </c>
      <c r="C184" s="7" t="s">
        <v>361</v>
      </c>
      <c r="D184" s="7" t="s">
        <v>736</v>
      </c>
      <c r="E184" s="7" t="s">
        <v>343</v>
      </c>
      <c r="F184" s="7" t="s">
        <v>737</v>
      </c>
    </row>
    <row r="185" customFormat="false" ht="15" hidden="false" customHeight="false" outlineLevel="0" collapsed="false">
      <c r="A185" s="7" t="s">
        <v>359</v>
      </c>
      <c r="B185" s="7" t="s">
        <v>360</v>
      </c>
      <c r="C185" s="7" t="s">
        <v>361</v>
      </c>
      <c r="D185" s="7" t="s">
        <v>738</v>
      </c>
      <c r="E185" s="7" t="s">
        <v>338</v>
      </c>
      <c r="F185" s="7" t="s">
        <v>739</v>
      </c>
    </row>
    <row r="186" customFormat="false" ht="15" hidden="false" customHeight="false" outlineLevel="0" collapsed="false">
      <c r="A186" s="7" t="s">
        <v>359</v>
      </c>
      <c r="B186" s="7" t="s">
        <v>360</v>
      </c>
      <c r="C186" s="7" t="s">
        <v>361</v>
      </c>
      <c r="D186" s="7" t="s">
        <v>740</v>
      </c>
      <c r="E186" s="7" t="s">
        <v>173</v>
      </c>
      <c r="F186" s="7" t="s">
        <v>741</v>
      </c>
    </row>
    <row r="187" customFormat="false" ht="15" hidden="false" customHeight="false" outlineLevel="0" collapsed="false">
      <c r="A187" s="7" t="s">
        <v>359</v>
      </c>
      <c r="B187" s="7" t="s">
        <v>360</v>
      </c>
      <c r="C187" s="7" t="s">
        <v>361</v>
      </c>
      <c r="D187" s="7" t="s">
        <v>742</v>
      </c>
      <c r="E187" s="7" t="s">
        <v>87</v>
      </c>
      <c r="F187" s="7" t="s">
        <v>743</v>
      </c>
    </row>
    <row r="188" customFormat="false" ht="15" hidden="false" customHeight="false" outlineLevel="0" collapsed="false">
      <c r="A188" s="7" t="s">
        <v>359</v>
      </c>
      <c r="B188" s="7" t="s">
        <v>360</v>
      </c>
      <c r="C188" s="7" t="s">
        <v>361</v>
      </c>
      <c r="D188" s="7" t="s">
        <v>744</v>
      </c>
      <c r="E188" s="7" t="s">
        <v>185</v>
      </c>
      <c r="F188" s="7" t="s">
        <v>745</v>
      </c>
    </row>
    <row r="189" customFormat="false" ht="15" hidden="false" customHeight="false" outlineLevel="0" collapsed="false">
      <c r="A189" s="7" t="s">
        <v>359</v>
      </c>
      <c r="B189" s="7" t="s">
        <v>360</v>
      </c>
      <c r="C189" s="7" t="s">
        <v>361</v>
      </c>
      <c r="D189" s="7" t="s">
        <v>746</v>
      </c>
      <c r="E189" s="7" t="s">
        <v>350</v>
      </c>
      <c r="F189" s="7" t="s">
        <v>747</v>
      </c>
    </row>
    <row r="190" customFormat="false" ht="15" hidden="false" customHeight="false" outlineLevel="0" collapsed="false">
      <c r="A190" s="7" t="s">
        <v>359</v>
      </c>
      <c r="B190" s="7" t="s">
        <v>360</v>
      </c>
      <c r="C190" s="7" t="s">
        <v>361</v>
      </c>
      <c r="D190" s="7" t="s">
        <v>748</v>
      </c>
      <c r="E190" s="7" t="s">
        <v>338</v>
      </c>
      <c r="F190" s="7" t="s">
        <v>749</v>
      </c>
    </row>
    <row r="191" customFormat="false" ht="15" hidden="false" customHeight="false" outlineLevel="0" collapsed="false">
      <c r="A191" s="7" t="s">
        <v>359</v>
      </c>
      <c r="B191" s="7" t="s">
        <v>360</v>
      </c>
      <c r="C191" s="7" t="s">
        <v>361</v>
      </c>
      <c r="D191" s="7" t="s">
        <v>750</v>
      </c>
      <c r="E191" s="7" t="s">
        <v>135</v>
      </c>
      <c r="F191" s="7" t="s">
        <v>751</v>
      </c>
    </row>
    <row r="192" customFormat="false" ht="15" hidden="false" customHeight="false" outlineLevel="0" collapsed="false">
      <c r="A192" s="7" t="s">
        <v>359</v>
      </c>
      <c r="B192" s="7" t="s">
        <v>360</v>
      </c>
      <c r="C192" s="7" t="s">
        <v>361</v>
      </c>
      <c r="D192" s="7" t="s">
        <v>752</v>
      </c>
      <c r="E192" s="7" t="s">
        <v>224</v>
      </c>
      <c r="F192" s="7" t="s">
        <v>753</v>
      </c>
    </row>
    <row r="193" customFormat="false" ht="15" hidden="false" customHeight="false" outlineLevel="0" collapsed="false">
      <c r="A193" s="7" t="s">
        <v>359</v>
      </c>
      <c r="B193" s="7" t="s">
        <v>360</v>
      </c>
      <c r="C193" s="7" t="s">
        <v>361</v>
      </c>
      <c r="D193" s="7" t="s">
        <v>754</v>
      </c>
      <c r="E193" s="7" t="s">
        <v>192</v>
      </c>
      <c r="F193" s="7" t="s">
        <v>755</v>
      </c>
    </row>
    <row r="194" customFormat="false" ht="15" hidden="false" customHeight="false" outlineLevel="0" collapsed="false">
      <c r="A194" s="7" t="s">
        <v>359</v>
      </c>
      <c r="B194" s="7" t="s">
        <v>360</v>
      </c>
      <c r="C194" s="7" t="s">
        <v>361</v>
      </c>
      <c r="D194" s="7" t="s">
        <v>756</v>
      </c>
      <c r="E194" s="7" t="s">
        <v>338</v>
      </c>
      <c r="F194" s="7" t="s">
        <v>757</v>
      </c>
    </row>
    <row r="195" customFormat="false" ht="15" hidden="false" customHeight="false" outlineLevel="0" collapsed="false">
      <c r="A195" s="7" t="s">
        <v>359</v>
      </c>
      <c r="B195" s="7" t="s">
        <v>360</v>
      </c>
      <c r="C195" s="7" t="s">
        <v>361</v>
      </c>
      <c r="D195" s="7" t="s">
        <v>758</v>
      </c>
      <c r="E195" s="7" t="s">
        <v>75</v>
      </c>
      <c r="F195" s="7" t="s">
        <v>759</v>
      </c>
    </row>
    <row r="196" customFormat="false" ht="15" hidden="false" customHeight="false" outlineLevel="0" collapsed="false">
      <c r="A196" s="7" t="s">
        <v>359</v>
      </c>
      <c r="B196" s="7" t="s">
        <v>360</v>
      </c>
      <c r="C196" s="7" t="s">
        <v>361</v>
      </c>
      <c r="D196" s="7" t="s">
        <v>760</v>
      </c>
      <c r="E196" s="7" t="s">
        <v>215</v>
      </c>
      <c r="F196" s="7" t="s">
        <v>761</v>
      </c>
    </row>
    <row r="197" customFormat="false" ht="15" hidden="false" customHeight="false" outlineLevel="0" collapsed="false">
      <c r="A197" s="7" t="s">
        <v>359</v>
      </c>
      <c r="B197" s="7" t="s">
        <v>360</v>
      </c>
      <c r="C197" s="7" t="s">
        <v>361</v>
      </c>
      <c r="D197" s="7" t="s">
        <v>762</v>
      </c>
      <c r="E197" s="7" t="s">
        <v>275</v>
      </c>
      <c r="F197" s="7" t="s">
        <v>763</v>
      </c>
    </row>
    <row r="198" customFormat="false" ht="15" hidden="false" customHeight="false" outlineLevel="0" collapsed="false">
      <c r="A198" s="7" t="s">
        <v>359</v>
      </c>
      <c r="B198" s="7" t="s">
        <v>360</v>
      </c>
      <c r="C198" s="7" t="s">
        <v>361</v>
      </c>
      <c r="D198" s="7" t="s">
        <v>764</v>
      </c>
      <c r="E198" s="7" t="s">
        <v>243</v>
      </c>
      <c r="F198" s="7" t="s">
        <v>765</v>
      </c>
    </row>
    <row r="199" customFormat="false" ht="15" hidden="false" customHeight="false" outlineLevel="0" collapsed="false">
      <c r="A199" s="7" t="s">
        <v>359</v>
      </c>
      <c r="B199" s="7" t="s">
        <v>360</v>
      </c>
      <c r="C199" s="7" t="s">
        <v>361</v>
      </c>
      <c r="D199" s="7" t="s">
        <v>766</v>
      </c>
      <c r="E199" s="7" t="s">
        <v>305</v>
      </c>
      <c r="F199" s="7" t="s">
        <v>767</v>
      </c>
    </row>
    <row r="200" customFormat="false" ht="15" hidden="false" customHeight="false" outlineLevel="0" collapsed="false">
      <c r="A200" s="7" t="s">
        <v>359</v>
      </c>
      <c r="B200" s="7" t="s">
        <v>360</v>
      </c>
      <c r="C200" s="7" t="s">
        <v>361</v>
      </c>
      <c r="D200" s="7" t="s">
        <v>768</v>
      </c>
      <c r="E200" s="7" t="s">
        <v>220</v>
      </c>
      <c r="F200" s="7" t="s">
        <v>769</v>
      </c>
    </row>
    <row r="201" customFormat="false" ht="15" hidden="false" customHeight="false" outlineLevel="0" collapsed="false">
      <c r="A201" s="7" t="s">
        <v>359</v>
      </c>
      <c r="B201" s="7" t="s">
        <v>360</v>
      </c>
      <c r="C201" s="7" t="s">
        <v>361</v>
      </c>
      <c r="D201" s="7" t="s">
        <v>770</v>
      </c>
      <c r="E201" s="7" t="s">
        <v>192</v>
      </c>
      <c r="F201" s="7" t="s">
        <v>771</v>
      </c>
    </row>
    <row r="202" customFormat="false" ht="15" hidden="false" customHeight="false" outlineLevel="0" collapsed="false">
      <c r="A202" s="7" t="s">
        <v>359</v>
      </c>
      <c r="B202" s="7" t="s">
        <v>360</v>
      </c>
      <c r="C202" s="7" t="s">
        <v>361</v>
      </c>
      <c r="D202" s="7" t="s">
        <v>772</v>
      </c>
      <c r="E202" s="7" t="s">
        <v>59</v>
      </c>
      <c r="F202" s="7" t="s">
        <v>773</v>
      </c>
    </row>
    <row r="203" customFormat="false" ht="15" hidden="false" customHeight="false" outlineLevel="0" collapsed="false">
      <c r="A203" s="7" t="s">
        <v>359</v>
      </c>
      <c r="B203" s="7" t="s">
        <v>360</v>
      </c>
      <c r="C203" s="7" t="s">
        <v>361</v>
      </c>
      <c r="D203" s="7" t="s">
        <v>774</v>
      </c>
      <c r="E203" s="7" t="s">
        <v>278</v>
      </c>
      <c r="F203" s="7" t="s">
        <v>775</v>
      </c>
    </row>
    <row r="204" customFormat="false" ht="15" hidden="false" customHeight="false" outlineLevel="0" collapsed="false">
      <c r="A204" s="7" t="s">
        <v>359</v>
      </c>
      <c r="B204" s="7" t="s">
        <v>360</v>
      </c>
      <c r="C204" s="7" t="s">
        <v>361</v>
      </c>
      <c r="D204" s="7" t="s">
        <v>776</v>
      </c>
      <c r="E204" s="7" t="s">
        <v>301</v>
      </c>
      <c r="F204" s="7" t="s">
        <v>777</v>
      </c>
    </row>
    <row r="205" customFormat="false" ht="15" hidden="false" customHeight="false" outlineLevel="0" collapsed="false">
      <c r="A205" s="7" t="s">
        <v>359</v>
      </c>
      <c r="B205" s="7" t="s">
        <v>360</v>
      </c>
      <c r="C205" s="7" t="s">
        <v>361</v>
      </c>
      <c r="D205" s="7" t="s">
        <v>778</v>
      </c>
      <c r="E205" s="7" t="s">
        <v>314</v>
      </c>
      <c r="F205" s="7" t="s">
        <v>779</v>
      </c>
    </row>
    <row r="206" customFormat="false" ht="15" hidden="false" customHeight="false" outlineLevel="0" collapsed="false">
      <c r="A206" s="7" t="s">
        <v>359</v>
      </c>
      <c r="B206" s="7" t="s">
        <v>360</v>
      </c>
      <c r="C206" s="7" t="s">
        <v>361</v>
      </c>
      <c r="D206" s="7" t="s">
        <v>780</v>
      </c>
      <c r="E206" s="7" t="s">
        <v>108</v>
      </c>
      <c r="F206" s="7" t="s">
        <v>781</v>
      </c>
    </row>
    <row r="207" customFormat="false" ht="15" hidden="false" customHeight="false" outlineLevel="0" collapsed="false">
      <c r="A207" s="7" t="s">
        <v>359</v>
      </c>
      <c r="B207" s="7" t="s">
        <v>360</v>
      </c>
      <c r="C207" s="7" t="s">
        <v>361</v>
      </c>
      <c r="D207" s="7" t="s">
        <v>782</v>
      </c>
      <c r="E207" s="7" t="s">
        <v>131</v>
      </c>
      <c r="F207" s="7" t="s">
        <v>783</v>
      </c>
    </row>
    <row r="208" customFormat="false" ht="15" hidden="false" customHeight="false" outlineLevel="0" collapsed="false">
      <c r="A208" s="7" t="s">
        <v>359</v>
      </c>
      <c r="B208" s="7" t="s">
        <v>360</v>
      </c>
      <c r="C208" s="7" t="s">
        <v>361</v>
      </c>
      <c r="D208" s="7" t="s">
        <v>784</v>
      </c>
      <c r="E208" s="7" t="s">
        <v>106</v>
      </c>
      <c r="F208" s="7" t="s">
        <v>785</v>
      </c>
    </row>
    <row r="209" customFormat="false" ht="15" hidden="false" customHeight="false" outlineLevel="0" collapsed="false">
      <c r="A209" s="7" t="s">
        <v>359</v>
      </c>
      <c r="B209" s="7" t="s">
        <v>360</v>
      </c>
      <c r="C209" s="7" t="s">
        <v>361</v>
      </c>
      <c r="D209" s="7" t="s">
        <v>786</v>
      </c>
      <c r="E209" s="7" t="s">
        <v>159</v>
      </c>
      <c r="F209" s="7" t="s">
        <v>787</v>
      </c>
    </row>
    <row r="210" customFormat="false" ht="15" hidden="false" customHeight="false" outlineLevel="0" collapsed="false">
      <c r="A210" s="7" t="s">
        <v>359</v>
      </c>
      <c r="B210" s="7" t="s">
        <v>360</v>
      </c>
      <c r="C210" s="7" t="s">
        <v>361</v>
      </c>
      <c r="D210" s="7" t="s">
        <v>788</v>
      </c>
      <c r="E210" s="7" t="s">
        <v>287</v>
      </c>
      <c r="F210" s="7" t="s">
        <v>789</v>
      </c>
    </row>
    <row r="211" customFormat="false" ht="15" hidden="false" customHeight="false" outlineLevel="0" collapsed="false">
      <c r="A211" s="7" t="s">
        <v>359</v>
      </c>
      <c r="B211" s="7" t="s">
        <v>360</v>
      </c>
      <c r="C211" s="7" t="s">
        <v>361</v>
      </c>
      <c r="D211" s="7" t="s">
        <v>790</v>
      </c>
      <c r="E211" s="7" t="s">
        <v>94</v>
      </c>
      <c r="F211" s="7" t="s">
        <v>791</v>
      </c>
    </row>
    <row r="212" customFormat="false" ht="15" hidden="false" customHeight="false" outlineLevel="0" collapsed="false">
      <c r="A212" s="7" t="s">
        <v>359</v>
      </c>
      <c r="B212" s="7" t="s">
        <v>360</v>
      </c>
      <c r="C212" s="7" t="s">
        <v>361</v>
      </c>
      <c r="D212" s="7" t="s">
        <v>792</v>
      </c>
      <c r="E212" s="7" t="s">
        <v>102</v>
      </c>
      <c r="F212" s="7" t="s">
        <v>793</v>
      </c>
    </row>
    <row r="213" customFormat="false" ht="15" hidden="false" customHeight="false" outlineLevel="0" collapsed="false">
      <c r="A213" s="7" t="s">
        <v>359</v>
      </c>
      <c r="B213" s="7" t="s">
        <v>360</v>
      </c>
      <c r="C213" s="7" t="s">
        <v>361</v>
      </c>
      <c r="D213" s="7" t="s">
        <v>794</v>
      </c>
      <c r="E213" s="7" t="s">
        <v>212</v>
      </c>
      <c r="F213" s="7" t="s">
        <v>795</v>
      </c>
    </row>
    <row r="214" customFormat="false" ht="15" hidden="false" customHeight="false" outlineLevel="0" collapsed="false">
      <c r="A214" s="7" t="s">
        <v>359</v>
      </c>
      <c r="B214" s="7" t="s">
        <v>360</v>
      </c>
      <c r="C214" s="7" t="s">
        <v>361</v>
      </c>
      <c r="D214" s="7" t="s">
        <v>796</v>
      </c>
      <c r="E214" s="7" t="s">
        <v>165</v>
      </c>
      <c r="F214" s="7" t="s">
        <v>797</v>
      </c>
    </row>
    <row r="215" customFormat="false" ht="15" hidden="false" customHeight="false" outlineLevel="0" collapsed="false">
      <c r="A215" s="7" t="s">
        <v>359</v>
      </c>
      <c r="B215" s="7" t="s">
        <v>360</v>
      </c>
      <c r="C215" s="7" t="s">
        <v>361</v>
      </c>
      <c r="D215" s="7" t="s">
        <v>798</v>
      </c>
      <c r="E215" s="7" t="s">
        <v>35</v>
      </c>
      <c r="F215" s="7" t="s">
        <v>799</v>
      </c>
    </row>
    <row r="216" customFormat="false" ht="15" hidden="false" customHeight="false" outlineLevel="0" collapsed="false">
      <c r="A216" s="7" t="s">
        <v>359</v>
      </c>
      <c r="B216" s="7" t="s">
        <v>360</v>
      </c>
      <c r="C216" s="7" t="s">
        <v>361</v>
      </c>
      <c r="D216" s="7" t="s">
        <v>800</v>
      </c>
      <c r="E216" s="7" t="s">
        <v>327</v>
      </c>
      <c r="F216" s="7" t="s">
        <v>801</v>
      </c>
    </row>
    <row r="217" customFormat="false" ht="15" hidden="false" customHeight="false" outlineLevel="0" collapsed="false">
      <c r="A217" s="7" t="s">
        <v>359</v>
      </c>
      <c r="B217" s="7" t="s">
        <v>360</v>
      </c>
      <c r="C217" s="7" t="s">
        <v>361</v>
      </c>
      <c r="D217" s="7" t="s">
        <v>802</v>
      </c>
      <c r="E217" s="7" t="s">
        <v>334</v>
      </c>
      <c r="F217" s="7" t="s">
        <v>803</v>
      </c>
    </row>
    <row r="218" customFormat="false" ht="15" hidden="false" customHeight="false" outlineLevel="0" collapsed="false">
      <c r="A218" s="7" t="s">
        <v>359</v>
      </c>
      <c r="B218" s="7" t="s">
        <v>360</v>
      </c>
      <c r="C218" s="7" t="s">
        <v>361</v>
      </c>
      <c r="D218" s="7" t="s">
        <v>804</v>
      </c>
      <c r="E218" s="7" t="s">
        <v>118</v>
      </c>
      <c r="F218" s="7" t="s">
        <v>805</v>
      </c>
    </row>
    <row r="219" customFormat="false" ht="15" hidden="false" customHeight="false" outlineLevel="0" collapsed="false">
      <c r="A219" s="7" t="s">
        <v>359</v>
      </c>
      <c r="B219" s="7" t="s">
        <v>360</v>
      </c>
      <c r="C219" s="7" t="s">
        <v>361</v>
      </c>
      <c r="D219" s="7" t="s">
        <v>806</v>
      </c>
      <c r="E219" s="7" t="s">
        <v>138</v>
      </c>
      <c r="F219" s="7" t="s">
        <v>807</v>
      </c>
    </row>
    <row r="220" customFormat="false" ht="15" hidden="false" customHeight="false" outlineLevel="0" collapsed="false">
      <c r="A220" s="7" t="s">
        <v>359</v>
      </c>
      <c r="B220" s="7" t="s">
        <v>360</v>
      </c>
      <c r="C220" s="7" t="s">
        <v>361</v>
      </c>
      <c r="D220" s="7" t="s">
        <v>808</v>
      </c>
      <c r="E220" s="7" t="s">
        <v>35</v>
      </c>
      <c r="F220" s="7" t="s">
        <v>809</v>
      </c>
    </row>
    <row r="221" customFormat="false" ht="15" hidden="false" customHeight="false" outlineLevel="0" collapsed="false">
      <c r="A221" s="7" t="s">
        <v>359</v>
      </c>
      <c r="B221" s="7" t="s">
        <v>360</v>
      </c>
      <c r="C221" s="7" t="s">
        <v>361</v>
      </c>
      <c r="D221" s="7" t="s">
        <v>810</v>
      </c>
      <c r="E221" s="7" t="s">
        <v>146</v>
      </c>
      <c r="F221" s="7" t="s">
        <v>811</v>
      </c>
    </row>
    <row r="222" customFormat="false" ht="15" hidden="false" customHeight="false" outlineLevel="0" collapsed="false">
      <c r="A222" s="7" t="s">
        <v>359</v>
      </c>
      <c r="B222" s="7" t="s">
        <v>360</v>
      </c>
      <c r="C222" s="7" t="s">
        <v>361</v>
      </c>
      <c r="D222" s="7" t="s">
        <v>812</v>
      </c>
      <c r="E222" s="7" t="s">
        <v>309</v>
      </c>
      <c r="F222" s="7" t="s">
        <v>813</v>
      </c>
    </row>
    <row r="223" customFormat="false" ht="15" hidden="false" customHeight="false" outlineLevel="0" collapsed="false">
      <c r="A223" s="7" t="s">
        <v>359</v>
      </c>
      <c r="B223" s="7" t="s">
        <v>360</v>
      </c>
      <c r="C223" s="7" t="s">
        <v>361</v>
      </c>
      <c r="D223" s="7" t="s">
        <v>814</v>
      </c>
      <c r="E223" s="7" t="s">
        <v>230</v>
      </c>
      <c r="F223" s="7" t="s">
        <v>815</v>
      </c>
    </row>
    <row r="224" customFormat="false" ht="15" hidden="false" customHeight="false" outlineLevel="0" collapsed="false">
      <c r="A224" s="7" t="s">
        <v>359</v>
      </c>
      <c r="B224" s="7" t="s">
        <v>360</v>
      </c>
      <c r="C224" s="7" t="s">
        <v>361</v>
      </c>
      <c r="D224" s="7" t="s">
        <v>816</v>
      </c>
      <c r="E224" s="7" t="s">
        <v>79</v>
      </c>
      <c r="F224" s="7" t="s">
        <v>817</v>
      </c>
    </row>
    <row r="225" customFormat="false" ht="15" hidden="false" customHeight="false" outlineLevel="0" collapsed="false">
      <c r="A225" s="7" t="s">
        <v>359</v>
      </c>
      <c r="B225" s="7" t="s">
        <v>360</v>
      </c>
      <c r="C225" s="7" t="s">
        <v>361</v>
      </c>
      <c r="D225" s="7" t="s">
        <v>818</v>
      </c>
      <c r="E225" s="7" t="s">
        <v>307</v>
      </c>
      <c r="F225" s="7" t="s">
        <v>819</v>
      </c>
    </row>
    <row r="226" customFormat="false" ht="15" hidden="false" customHeight="false" outlineLevel="0" collapsed="false">
      <c r="A226" s="7" t="s">
        <v>359</v>
      </c>
      <c r="B226" s="7" t="s">
        <v>360</v>
      </c>
      <c r="C226" s="7" t="s">
        <v>361</v>
      </c>
      <c r="D226" s="7" t="s">
        <v>820</v>
      </c>
      <c r="E226" s="7" t="s">
        <v>301</v>
      </c>
      <c r="F226" s="7" t="s">
        <v>821</v>
      </c>
    </row>
    <row r="227" customFormat="false" ht="15" hidden="false" customHeight="false" outlineLevel="0" collapsed="false">
      <c r="A227" s="7" t="s">
        <v>359</v>
      </c>
      <c r="B227" s="7" t="s">
        <v>360</v>
      </c>
      <c r="C227" s="7" t="s">
        <v>361</v>
      </c>
      <c r="D227" s="7" t="s">
        <v>822</v>
      </c>
      <c r="E227" s="7" t="s">
        <v>54</v>
      </c>
      <c r="F227" s="7" t="s">
        <v>823</v>
      </c>
    </row>
    <row r="228" customFormat="false" ht="15" hidden="false" customHeight="false" outlineLevel="0" collapsed="false">
      <c r="A228" s="7" t="s">
        <v>359</v>
      </c>
      <c r="B228" s="7" t="s">
        <v>360</v>
      </c>
      <c r="C228" s="7" t="s">
        <v>361</v>
      </c>
      <c r="D228" s="7" t="s">
        <v>824</v>
      </c>
      <c r="E228" s="7" t="s">
        <v>165</v>
      </c>
      <c r="F228" s="7" t="s">
        <v>825</v>
      </c>
    </row>
    <row r="229" customFormat="false" ht="15" hidden="false" customHeight="false" outlineLevel="0" collapsed="false">
      <c r="A229" s="7" t="s">
        <v>359</v>
      </c>
      <c r="B229" s="7" t="s">
        <v>360</v>
      </c>
      <c r="C229" s="7" t="s">
        <v>361</v>
      </c>
      <c r="D229" s="7" t="s">
        <v>826</v>
      </c>
      <c r="E229" s="7" t="s">
        <v>301</v>
      </c>
      <c r="F229" s="7" t="s">
        <v>827</v>
      </c>
    </row>
    <row r="230" customFormat="false" ht="15" hidden="false" customHeight="false" outlineLevel="0" collapsed="false">
      <c r="A230" s="7" t="s">
        <v>359</v>
      </c>
      <c r="B230" s="7" t="s">
        <v>360</v>
      </c>
      <c r="C230" s="7" t="s">
        <v>361</v>
      </c>
      <c r="D230" s="7" t="s">
        <v>828</v>
      </c>
      <c r="E230" s="7" t="s">
        <v>115</v>
      </c>
      <c r="F230" s="7" t="s">
        <v>829</v>
      </c>
    </row>
    <row r="231" customFormat="false" ht="15" hidden="false" customHeight="false" outlineLevel="0" collapsed="false">
      <c r="A231" s="7" t="s">
        <v>359</v>
      </c>
      <c r="B231" s="7" t="s">
        <v>360</v>
      </c>
      <c r="C231" s="7" t="s">
        <v>361</v>
      </c>
      <c r="D231" s="7" t="s">
        <v>830</v>
      </c>
      <c r="E231" s="7" t="s">
        <v>344</v>
      </c>
      <c r="F231" s="7" t="s">
        <v>831</v>
      </c>
    </row>
    <row r="232" customFormat="false" ht="15" hidden="false" customHeight="false" outlineLevel="0" collapsed="false">
      <c r="A232" s="7" t="s">
        <v>359</v>
      </c>
      <c r="B232" s="7" t="s">
        <v>360</v>
      </c>
      <c r="C232" s="7" t="s">
        <v>361</v>
      </c>
      <c r="D232" s="7" t="s">
        <v>832</v>
      </c>
      <c r="E232" s="7" t="s">
        <v>264</v>
      </c>
      <c r="F232" s="7" t="s">
        <v>833</v>
      </c>
    </row>
    <row r="233" customFormat="false" ht="15" hidden="false" customHeight="false" outlineLevel="0" collapsed="false">
      <c r="A233" s="7" t="s">
        <v>359</v>
      </c>
      <c r="B233" s="7" t="s">
        <v>360</v>
      </c>
      <c r="C233" s="7" t="s">
        <v>361</v>
      </c>
      <c r="D233" s="7" t="s">
        <v>834</v>
      </c>
      <c r="E233" s="7" t="s">
        <v>342</v>
      </c>
      <c r="F233" s="7" t="s">
        <v>835</v>
      </c>
    </row>
    <row r="234" customFormat="false" ht="15" hidden="false" customHeight="false" outlineLevel="0" collapsed="false">
      <c r="A234" s="7" t="s">
        <v>359</v>
      </c>
      <c r="B234" s="7" t="s">
        <v>360</v>
      </c>
      <c r="C234" s="7" t="s">
        <v>361</v>
      </c>
      <c r="D234" s="7" t="s">
        <v>836</v>
      </c>
      <c r="E234" s="7" t="s">
        <v>214</v>
      </c>
      <c r="F234" s="7" t="s">
        <v>837</v>
      </c>
    </row>
    <row r="235" customFormat="false" ht="15" hidden="false" customHeight="false" outlineLevel="0" collapsed="false">
      <c r="A235" s="7" t="s">
        <v>359</v>
      </c>
      <c r="B235" s="7" t="s">
        <v>360</v>
      </c>
      <c r="C235" s="7" t="s">
        <v>361</v>
      </c>
      <c r="D235" s="7" t="s">
        <v>838</v>
      </c>
      <c r="E235" s="7" t="s">
        <v>38</v>
      </c>
      <c r="F235" s="7" t="s">
        <v>839</v>
      </c>
    </row>
    <row r="236" customFormat="false" ht="15" hidden="false" customHeight="false" outlineLevel="0" collapsed="false">
      <c r="A236" s="7" t="s">
        <v>359</v>
      </c>
      <c r="B236" s="7" t="s">
        <v>360</v>
      </c>
      <c r="C236" s="7" t="s">
        <v>361</v>
      </c>
      <c r="D236" s="7" t="s">
        <v>840</v>
      </c>
      <c r="E236" s="7" t="s">
        <v>222</v>
      </c>
      <c r="F236" s="7" t="s">
        <v>841</v>
      </c>
    </row>
    <row r="237" customFormat="false" ht="15" hidden="false" customHeight="false" outlineLevel="0" collapsed="false">
      <c r="A237" s="7" t="s">
        <v>359</v>
      </c>
      <c r="B237" s="7" t="s">
        <v>360</v>
      </c>
      <c r="C237" s="7" t="s">
        <v>361</v>
      </c>
      <c r="D237" s="7" t="s">
        <v>842</v>
      </c>
      <c r="E237" s="7" t="s">
        <v>116</v>
      </c>
      <c r="F237" s="7" t="s">
        <v>843</v>
      </c>
    </row>
    <row r="238" customFormat="false" ht="15" hidden="false" customHeight="false" outlineLevel="0" collapsed="false">
      <c r="A238" s="7" t="s">
        <v>359</v>
      </c>
      <c r="B238" s="7" t="s">
        <v>360</v>
      </c>
      <c r="C238" s="7" t="s">
        <v>361</v>
      </c>
      <c r="D238" s="7" t="s">
        <v>844</v>
      </c>
      <c r="E238" s="7" t="s">
        <v>273</v>
      </c>
      <c r="F238" s="7" t="s">
        <v>845</v>
      </c>
    </row>
    <row r="239" customFormat="false" ht="15" hidden="false" customHeight="false" outlineLevel="0" collapsed="false">
      <c r="A239" s="7" t="s">
        <v>359</v>
      </c>
      <c r="B239" s="7" t="s">
        <v>360</v>
      </c>
      <c r="C239" s="7" t="s">
        <v>361</v>
      </c>
      <c r="D239" s="7" t="s">
        <v>846</v>
      </c>
      <c r="E239" s="7" t="s">
        <v>94</v>
      </c>
      <c r="F239" s="7" t="s">
        <v>847</v>
      </c>
    </row>
    <row r="240" customFormat="false" ht="15" hidden="false" customHeight="false" outlineLevel="0" collapsed="false">
      <c r="A240" s="7" t="s">
        <v>359</v>
      </c>
      <c r="B240" s="7" t="s">
        <v>360</v>
      </c>
      <c r="C240" s="7" t="s">
        <v>361</v>
      </c>
      <c r="D240" s="7" t="s">
        <v>848</v>
      </c>
      <c r="E240" s="7" t="s">
        <v>75</v>
      </c>
      <c r="F240" s="7" t="s">
        <v>849</v>
      </c>
    </row>
    <row r="241" customFormat="false" ht="15" hidden="false" customHeight="false" outlineLevel="0" collapsed="false">
      <c r="A241" s="7" t="s">
        <v>359</v>
      </c>
      <c r="B241" s="7" t="s">
        <v>360</v>
      </c>
      <c r="C241" s="7" t="s">
        <v>361</v>
      </c>
      <c r="D241" s="7" t="s">
        <v>850</v>
      </c>
      <c r="E241" s="7" t="s">
        <v>292</v>
      </c>
      <c r="F241" s="7" t="s">
        <v>851</v>
      </c>
    </row>
    <row r="242" customFormat="false" ht="15" hidden="false" customHeight="false" outlineLevel="0" collapsed="false">
      <c r="A242" s="7" t="s">
        <v>359</v>
      </c>
      <c r="B242" s="7" t="s">
        <v>360</v>
      </c>
      <c r="C242" s="7" t="s">
        <v>361</v>
      </c>
      <c r="D242" s="7" t="s">
        <v>852</v>
      </c>
      <c r="E242" s="7" t="s">
        <v>100</v>
      </c>
      <c r="F242" s="7" t="s">
        <v>853</v>
      </c>
    </row>
    <row r="243" customFormat="false" ht="15" hidden="false" customHeight="false" outlineLevel="0" collapsed="false">
      <c r="A243" s="7" t="s">
        <v>359</v>
      </c>
      <c r="B243" s="7" t="s">
        <v>360</v>
      </c>
      <c r="C243" s="7" t="s">
        <v>361</v>
      </c>
      <c r="D243" s="7" t="s">
        <v>854</v>
      </c>
      <c r="E243" s="7" t="s">
        <v>181</v>
      </c>
      <c r="F243" s="7" t="s">
        <v>855</v>
      </c>
    </row>
    <row r="244" customFormat="false" ht="15" hidden="false" customHeight="false" outlineLevel="0" collapsed="false">
      <c r="A244" s="7" t="s">
        <v>359</v>
      </c>
      <c r="B244" s="7" t="s">
        <v>360</v>
      </c>
      <c r="C244" s="7" t="s">
        <v>361</v>
      </c>
      <c r="D244" s="7" t="s">
        <v>856</v>
      </c>
      <c r="E244" s="7" t="s">
        <v>267</v>
      </c>
      <c r="F244" s="7" t="s">
        <v>857</v>
      </c>
    </row>
    <row r="245" customFormat="false" ht="15" hidden="false" customHeight="false" outlineLevel="0" collapsed="false">
      <c r="A245" s="7" t="s">
        <v>359</v>
      </c>
      <c r="B245" s="7" t="s">
        <v>360</v>
      </c>
      <c r="C245" s="7" t="s">
        <v>361</v>
      </c>
      <c r="D245" s="7" t="s">
        <v>858</v>
      </c>
      <c r="E245" s="7" t="s">
        <v>252</v>
      </c>
      <c r="F245" s="7" t="s">
        <v>859</v>
      </c>
    </row>
    <row r="246" customFormat="false" ht="15" hidden="false" customHeight="false" outlineLevel="0" collapsed="false">
      <c r="A246" s="7" t="s">
        <v>359</v>
      </c>
      <c r="B246" s="7" t="s">
        <v>360</v>
      </c>
      <c r="C246" s="7" t="s">
        <v>361</v>
      </c>
      <c r="D246" s="7" t="s">
        <v>860</v>
      </c>
      <c r="E246" s="7" t="s">
        <v>167</v>
      </c>
      <c r="F246" s="7" t="s">
        <v>861</v>
      </c>
    </row>
    <row r="247" customFormat="false" ht="15" hidden="false" customHeight="false" outlineLevel="0" collapsed="false">
      <c r="A247" s="7" t="s">
        <v>359</v>
      </c>
      <c r="B247" s="7" t="s">
        <v>360</v>
      </c>
      <c r="C247" s="7" t="s">
        <v>361</v>
      </c>
      <c r="D247" s="7" t="s">
        <v>862</v>
      </c>
      <c r="E247" s="7" t="s">
        <v>157</v>
      </c>
      <c r="F247" s="7" t="s">
        <v>863</v>
      </c>
    </row>
    <row r="248" customFormat="false" ht="15" hidden="false" customHeight="false" outlineLevel="0" collapsed="false">
      <c r="A248" s="7" t="s">
        <v>359</v>
      </c>
      <c r="B248" s="7" t="s">
        <v>360</v>
      </c>
      <c r="C248" s="7" t="s">
        <v>361</v>
      </c>
      <c r="D248" s="7" t="s">
        <v>864</v>
      </c>
      <c r="E248" s="7" t="s">
        <v>146</v>
      </c>
      <c r="F248" s="7" t="s">
        <v>865</v>
      </c>
    </row>
    <row r="249" customFormat="false" ht="15" hidden="false" customHeight="false" outlineLevel="0" collapsed="false">
      <c r="A249" s="7" t="s">
        <v>359</v>
      </c>
      <c r="B249" s="7" t="s">
        <v>360</v>
      </c>
      <c r="C249" s="7" t="s">
        <v>361</v>
      </c>
      <c r="D249" s="7" t="s">
        <v>866</v>
      </c>
      <c r="E249" s="7" t="s">
        <v>130</v>
      </c>
      <c r="F249" s="7" t="s">
        <v>867</v>
      </c>
    </row>
    <row r="250" customFormat="false" ht="15" hidden="false" customHeight="false" outlineLevel="0" collapsed="false">
      <c r="A250" s="7" t="s">
        <v>359</v>
      </c>
      <c r="B250" s="7" t="s">
        <v>360</v>
      </c>
      <c r="C250" s="7" t="s">
        <v>361</v>
      </c>
      <c r="D250" s="7" t="s">
        <v>868</v>
      </c>
      <c r="E250" s="7" t="s">
        <v>275</v>
      </c>
      <c r="F250" s="7" t="s">
        <v>869</v>
      </c>
    </row>
    <row r="251" customFormat="false" ht="15" hidden="false" customHeight="false" outlineLevel="0" collapsed="false">
      <c r="A251" s="7" t="s">
        <v>359</v>
      </c>
      <c r="B251" s="7" t="s">
        <v>360</v>
      </c>
      <c r="C251" s="7" t="s">
        <v>361</v>
      </c>
      <c r="D251" s="7" t="s">
        <v>870</v>
      </c>
      <c r="E251" s="7" t="s">
        <v>325</v>
      </c>
      <c r="F251" s="7" t="s">
        <v>871</v>
      </c>
    </row>
    <row r="252" customFormat="false" ht="15" hidden="false" customHeight="false" outlineLevel="0" collapsed="false">
      <c r="A252" s="7" t="s">
        <v>359</v>
      </c>
      <c r="B252" s="7" t="s">
        <v>360</v>
      </c>
      <c r="C252" s="7" t="s">
        <v>361</v>
      </c>
      <c r="D252" s="7" t="s">
        <v>872</v>
      </c>
      <c r="E252" s="7" t="s">
        <v>142</v>
      </c>
      <c r="F252" s="7" t="s">
        <v>873</v>
      </c>
    </row>
    <row r="253" customFormat="false" ht="15" hidden="false" customHeight="false" outlineLevel="0" collapsed="false">
      <c r="A253" s="7" t="s">
        <v>359</v>
      </c>
      <c r="B253" s="7" t="s">
        <v>360</v>
      </c>
      <c r="C253" s="7" t="s">
        <v>361</v>
      </c>
      <c r="D253" s="7" t="s">
        <v>874</v>
      </c>
      <c r="E253" s="7" t="s">
        <v>224</v>
      </c>
      <c r="F253" s="7" t="s">
        <v>875</v>
      </c>
    </row>
    <row r="254" customFormat="false" ht="15" hidden="false" customHeight="false" outlineLevel="0" collapsed="false">
      <c r="A254" s="7" t="s">
        <v>359</v>
      </c>
      <c r="B254" s="7" t="s">
        <v>360</v>
      </c>
      <c r="C254" s="7" t="s">
        <v>361</v>
      </c>
      <c r="D254" s="7" t="s">
        <v>876</v>
      </c>
      <c r="E254" s="7" t="s">
        <v>31</v>
      </c>
      <c r="F254" s="7" t="s">
        <v>877</v>
      </c>
    </row>
    <row r="255" customFormat="false" ht="15" hidden="false" customHeight="false" outlineLevel="0" collapsed="false">
      <c r="A255" s="7" t="s">
        <v>359</v>
      </c>
      <c r="B255" s="7" t="s">
        <v>360</v>
      </c>
      <c r="C255" s="7" t="s">
        <v>361</v>
      </c>
      <c r="D255" s="7" t="s">
        <v>878</v>
      </c>
      <c r="E255" s="7" t="s">
        <v>260</v>
      </c>
      <c r="F255" s="7" t="s">
        <v>879</v>
      </c>
    </row>
    <row r="256" customFormat="false" ht="15" hidden="false" customHeight="false" outlineLevel="0" collapsed="false">
      <c r="A256" s="7" t="s">
        <v>359</v>
      </c>
      <c r="B256" s="7" t="s">
        <v>360</v>
      </c>
      <c r="C256" s="7" t="s">
        <v>361</v>
      </c>
      <c r="D256" s="7" t="s">
        <v>880</v>
      </c>
      <c r="E256" s="7" t="s">
        <v>307</v>
      </c>
      <c r="F256" s="7" t="s">
        <v>881</v>
      </c>
    </row>
    <row r="257" customFormat="false" ht="15" hidden="false" customHeight="false" outlineLevel="0" collapsed="false">
      <c r="A257" s="7" t="s">
        <v>359</v>
      </c>
      <c r="B257" s="7" t="s">
        <v>360</v>
      </c>
      <c r="C257" s="7" t="s">
        <v>361</v>
      </c>
      <c r="D257" s="7" t="s">
        <v>882</v>
      </c>
      <c r="E257" s="7" t="s">
        <v>260</v>
      </c>
      <c r="F257" s="7" t="s">
        <v>883</v>
      </c>
    </row>
    <row r="258" customFormat="false" ht="15" hidden="false" customHeight="false" outlineLevel="0" collapsed="false">
      <c r="A258" s="7" t="s">
        <v>359</v>
      </c>
      <c r="B258" s="7" t="s">
        <v>360</v>
      </c>
      <c r="C258" s="7" t="s">
        <v>361</v>
      </c>
      <c r="D258" s="7" t="s">
        <v>884</v>
      </c>
      <c r="E258" s="7" t="s">
        <v>316</v>
      </c>
      <c r="F258" s="7" t="s">
        <v>885</v>
      </c>
    </row>
    <row r="259" customFormat="false" ht="15" hidden="false" customHeight="false" outlineLevel="0" collapsed="false">
      <c r="A259" s="7" t="s">
        <v>359</v>
      </c>
      <c r="B259" s="7" t="s">
        <v>360</v>
      </c>
      <c r="C259" s="7" t="s">
        <v>361</v>
      </c>
      <c r="D259" s="7" t="s">
        <v>886</v>
      </c>
      <c r="E259" s="7" t="s">
        <v>256</v>
      </c>
      <c r="F259" s="7" t="s">
        <v>887</v>
      </c>
    </row>
    <row r="260" customFormat="false" ht="15" hidden="false" customHeight="false" outlineLevel="0" collapsed="false">
      <c r="A260" s="7" t="s">
        <v>359</v>
      </c>
      <c r="B260" s="7" t="s">
        <v>360</v>
      </c>
      <c r="C260" s="7" t="s">
        <v>361</v>
      </c>
      <c r="D260" s="7" t="s">
        <v>888</v>
      </c>
      <c r="E260" s="7" t="s">
        <v>316</v>
      </c>
      <c r="F260" s="7" t="s">
        <v>889</v>
      </c>
    </row>
    <row r="261" customFormat="false" ht="15" hidden="false" customHeight="false" outlineLevel="0" collapsed="false">
      <c r="A261" s="7" t="s">
        <v>359</v>
      </c>
      <c r="B261" s="7" t="s">
        <v>360</v>
      </c>
      <c r="C261" s="7" t="s">
        <v>361</v>
      </c>
      <c r="D261" s="7" t="s">
        <v>890</v>
      </c>
      <c r="E261" s="7" t="s">
        <v>144</v>
      </c>
      <c r="F261" s="7" t="s">
        <v>891</v>
      </c>
    </row>
    <row r="262" customFormat="false" ht="15" hidden="false" customHeight="false" outlineLevel="0" collapsed="false">
      <c r="A262" s="7" t="s">
        <v>359</v>
      </c>
      <c r="B262" s="7" t="s">
        <v>360</v>
      </c>
      <c r="C262" s="7" t="s">
        <v>361</v>
      </c>
      <c r="D262" s="7" t="s">
        <v>892</v>
      </c>
      <c r="E262" s="7" t="s">
        <v>230</v>
      </c>
      <c r="F262" s="7" t="s">
        <v>893</v>
      </c>
    </row>
    <row r="263" customFormat="false" ht="15" hidden="false" customHeight="false" outlineLevel="0" collapsed="false">
      <c r="A263" s="7" t="s">
        <v>359</v>
      </c>
      <c r="B263" s="7" t="s">
        <v>360</v>
      </c>
      <c r="C263" s="7" t="s">
        <v>361</v>
      </c>
      <c r="D263" s="7" t="s">
        <v>894</v>
      </c>
      <c r="E263" s="7" t="s">
        <v>35</v>
      </c>
      <c r="F263" s="7" t="s">
        <v>895</v>
      </c>
    </row>
    <row r="264" customFormat="false" ht="15" hidden="false" customHeight="false" outlineLevel="0" collapsed="false">
      <c r="A264" s="7" t="s">
        <v>359</v>
      </c>
      <c r="B264" s="7" t="s">
        <v>360</v>
      </c>
      <c r="C264" s="7" t="s">
        <v>361</v>
      </c>
      <c r="D264" s="7" t="s">
        <v>896</v>
      </c>
      <c r="E264" s="7" t="s">
        <v>137</v>
      </c>
      <c r="F264" s="7" t="s">
        <v>897</v>
      </c>
    </row>
    <row r="265" customFormat="false" ht="15" hidden="false" customHeight="false" outlineLevel="0" collapsed="false">
      <c r="A265" s="7" t="s">
        <v>359</v>
      </c>
      <c r="B265" s="7" t="s">
        <v>360</v>
      </c>
      <c r="C265" s="7" t="s">
        <v>361</v>
      </c>
      <c r="D265" s="7" t="s">
        <v>898</v>
      </c>
      <c r="E265" s="7" t="s">
        <v>216</v>
      </c>
      <c r="F265" s="7" t="s">
        <v>899</v>
      </c>
    </row>
    <row r="266" customFormat="false" ht="15" hidden="false" customHeight="false" outlineLevel="0" collapsed="false">
      <c r="A266" s="7" t="s">
        <v>359</v>
      </c>
      <c r="B266" s="7" t="s">
        <v>360</v>
      </c>
      <c r="C266" s="7" t="s">
        <v>361</v>
      </c>
      <c r="D266" s="7" t="s">
        <v>900</v>
      </c>
      <c r="E266" s="7" t="s">
        <v>301</v>
      </c>
      <c r="F266" s="7" t="s">
        <v>901</v>
      </c>
    </row>
    <row r="267" customFormat="false" ht="15" hidden="false" customHeight="false" outlineLevel="0" collapsed="false">
      <c r="A267" s="7" t="s">
        <v>359</v>
      </c>
      <c r="B267" s="7" t="s">
        <v>360</v>
      </c>
      <c r="C267" s="7" t="s">
        <v>361</v>
      </c>
      <c r="D267" s="7" t="s">
        <v>902</v>
      </c>
      <c r="E267" s="7" t="s">
        <v>298</v>
      </c>
      <c r="F267" s="7" t="s">
        <v>903</v>
      </c>
    </row>
    <row r="268" customFormat="false" ht="15" hidden="false" customHeight="false" outlineLevel="0" collapsed="false">
      <c r="A268" s="7" t="s">
        <v>359</v>
      </c>
      <c r="B268" s="7" t="s">
        <v>360</v>
      </c>
      <c r="C268" s="7" t="s">
        <v>361</v>
      </c>
      <c r="D268" s="7" t="s">
        <v>904</v>
      </c>
      <c r="E268" s="7" t="s">
        <v>90</v>
      </c>
      <c r="F268" s="7" t="s">
        <v>905</v>
      </c>
    </row>
    <row r="269" customFormat="false" ht="15" hidden="false" customHeight="false" outlineLevel="0" collapsed="false">
      <c r="A269" s="7" t="s">
        <v>359</v>
      </c>
      <c r="B269" s="7" t="s">
        <v>360</v>
      </c>
      <c r="C269" s="7" t="s">
        <v>361</v>
      </c>
      <c r="D269" s="7" t="s">
        <v>906</v>
      </c>
      <c r="E269" s="7" t="s">
        <v>149</v>
      </c>
      <c r="F269" s="7" t="s">
        <v>907</v>
      </c>
    </row>
    <row r="270" customFormat="false" ht="15" hidden="false" customHeight="false" outlineLevel="0" collapsed="false">
      <c r="A270" s="7" t="s">
        <v>359</v>
      </c>
      <c r="B270" s="7" t="s">
        <v>360</v>
      </c>
      <c r="C270" s="7" t="s">
        <v>361</v>
      </c>
      <c r="D270" s="7" t="s">
        <v>908</v>
      </c>
      <c r="E270" s="7" t="s">
        <v>140</v>
      </c>
      <c r="F270" s="7" t="s">
        <v>909</v>
      </c>
    </row>
    <row r="271" customFormat="false" ht="15" hidden="false" customHeight="false" outlineLevel="0" collapsed="false">
      <c r="A271" s="7" t="s">
        <v>359</v>
      </c>
      <c r="B271" s="7" t="s">
        <v>360</v>
      </c>
      <c r="C271" s="7" t="s">
        <v>361</v>
      </c>
      <c r="D271" s="7" t="s">
        <v>910</v>
      </c>
      <c r="E271" s="7" t="s">
        <v>133</v>
      </c>
      <c r="F271" s="7" t="s">
        <v>911</v>
      </c>
    </row>
    <row r="272" customFormat="false" ht="15" hidden="false" customHeight="false" outlineLevel="0" collapsed="false">
      <c r="A272" s="7" t="s">
        <v>359</v>
      </c>
      <c r="B272" s="7" t="s">
        <v>360</v>
      </c>
      <c r="C272" s="7" t="s">
        <v>361</v>
      </c>
      <c r="D272" s="7" t="s">
        <v>912</v>
      </c>
      <c r="E272" s="7" t="s">
        <v>159</v>
      </c>
      <c r="F272" s="7" t="s">
        <v>913</v>
      </c>
    </row>
    <row r="273" customFormat="false" ht="15" hidden="false" customHeight="false" outlineLevel="0" collapsed="false">
      <c r="A273" s="7" t="s">
        <v>359</v>
      </c>
      <c r="B273" s="7" t="s">
        <v>360</v>
      </c>
      <c r="C273" s="7" t="s">
        <v>361</v>
      </c>
      <c r="D273" s="7" t="s">
        <v>914</v>
      </c>
      <c r="E273" s="7" t="s">
        <v>81</v>
      </c>
      <c r="F273" s="7" t="s">
        <v>915</v>
      </c>
    </row>
    <row r="274" customFormat="false" ht="15" hidden="false" customHeight="false" outlineLevel="0" collapsed="false">
      <c r="A274" s="7" t="s">
        <v>359</v>
      </c>
      <c r="B274" s="7" t="s">
        <v>360</v>
      </c>
      <c r="C274" s="7" t="s">
        <v>361</v>
      </c>
      <c r="D274" s="7" t="s">
        <v>916</v>
      </c>
      <c r="E274" s="7" t="s">
        <v>52</v>
      </c>
      <c r="F274" s="7" t="s">
        <v>917</v>
      </c>
    </row>
    <row r="275" customFormat="false" ht="15" hidden="false" customHeight="false" outlineLevel="0" collapsed="false">
      <c r="A275" s="7" t="s">
        <v>359</v>
      </c>
      <c r="B275" s="7" t="s">
        <v>360</v>
      </c>
      <c r="C275" s="7" t="s">
        <v>361</v>
      </c>
      <c r="D275" s="7" t="s">
        <v>918</v>
      </c>
      <c r="E275" s="7" t="s">
        <v>302</v>
      </c>
      <c r="F275" s="7" t="s">
        <v>919</v>
      </c>
    </row>
    <row r="276" customFormat="false" ht="15" hidden="false" customHeight="false" outlineLevel="0" collapsed="false">
      <c r="A276" s="7" t="s">
        <v>359</v>
      </c>
      <c r="B276" s="7" t="s">
        <v>360</v>
      </c>
      <c r="C276" s="7" t="s">
        <v>361</v>
      </c>
      <c r="D276" s="7" t="s">
        <v>920</v>
      </c>
      <c r="E276" s="7" t="s">
        <v>106</v>
      </c>
      <c r="F276" s="7" t="s">
        <v>921</v>
      </c>
    </row>
    <row r="277" customFormat="false" ht="15" hidden="false" customHeight="false" outlineLevel="0" collapsed="false">
      <c r="A277" s="7" t="s">
        <v>359</v>
      </c>
      <c r="B277" s="7" t="s">
        <v>360</v>
      </c>
      <c r="C277" s="7" t="s">
        <v>361</v>
      </c>
      <c r="D277" s="7" t="s">
        <v>922</v>
      </c>
      <c r="E277" s="7" t="s">
        <v>222</v>
      </c>
      <c r="F277" s="7" t="s">
        <v>923</v>
      </c>
    </row>
    <row r="278" customFormat="false" ht="15" hidden="false" customHeight="false" outlineLevel="0" collapsed="false">
      <c r="A278" s="7" t="s">
        <v>359</v>
      </c>
      <c r="B278" s="7" t="s">
        <v>360</v>
      </c>
      <c r="C278" s="7" t="s">
        <v>361</v>
      </c>
      <c r="D278" s="7" t="s">
        <v>924</v>
      </c>
      <c r="E278" s="7" t="s">
        <v>192</v>
      </c>
      <c r="F278" s="7" t="s">
        <v>925</v>
      </c>
    </row>
    <row r="279" customFormat="false" ht="15" hidden="false" customHeight="false" outlineLevel="0" collapsed="false">
      <c r="A279" s="7" t="s">
        <v>359</v>
      </c>
      <c r="B279" s="7" t="s">
        <v>360</v>
      </c>
      <c r="C279" s="7" t="s">
        <v>361</v>
      </c>
      <c r="D279" s="7" t="s">
        <v>926</v>
      </c>
      <c r="E279" s="7" t="s">
        <v>100</v>
      </c>
      <c r="F279" s="7" t="s">
        <v>927</v>
      </c>
    </row>
    <row r="280" customFormat="false" ht="15" hidden="false" customHeight="false" outlineLevel="0" collapsed="false">
      <c r="A280" s="7" t="s">
        <v>359</v>
      </c>
      <c r="B280" s="7" t="s">
        <v>360</v>
      </c>
      <c r="C280" s="7" t="s">
        <v>361</v>
      </c>
      <c r="D280" s="7" t="s">
        <v>928</v>
      </c>
      <c r="E280" s="7" t="s">
        <v>347</v>
      </c>
      <c r="F280" s="7" t="s">
        <v>929</v>
      </c>
    </row>
    <row r="281" customFormat="false" ht="15" hidden="false" customHeight="false" outlineLevel="0" collapsed="false">
      <c r="A281" s="7" t="s">
        <v>359</v>
      </c>
      <c r="B281" s="7" t="s">
        <v>360</v>
      </c>
      <c r="C281" s="7" t="s">
        <v>361</v>
      </c>
      <c r="D281" s="7" t="s">
        <v>930</v>
      </c>
      <c r="E281" s="7" t="s">
        <v>245</v>
      </c>
      <c r="F281" s="7" t="s">
        <v>931</v>
      </c>
    </row>
    <row r="282" customFormat="false" ht="15" hidden="false" customHeight="false" outlineLevel="0" collapsed="false">
      <c r="A282" s="7" t="s">
        <v>359</v>
      </c>
      <c r="B282" s="7" t="s">
        <v>360</v>
      </c>
      <c r="C282" s="7" t="s">
        <v>361</v>
      </c>
      <c r="D282" s="7" t="s">
        <v>932</v>
      </c>
      <c r="E282" s="7" t="s">
        <v>175</v>
      </c>
      <c r="F282" s="7" t="s">
        <v>933</v>
      </c>
    </row>
    <row r="283" customFormat="false" ht="15" hidden="false" customHeight="false" outlineLevel="0" collapsed="false">
      <c r="A283" s="7" t="s">
        <v>359</v>
      </c>
      <c r="B283" s="7" t="s">
        <v>360</v>
      </c>
      <c r="C283" s="7" t="s">
        <v>361</v>
      </c>
      <c r="D283" s="7" t="s">
        <v>934</v>
      </c>
      <c r="E283" s="7" t="s">
        <v>226</v>
      </c>
      <c r="F283" s="7" t="s">
        <v>935</v>
      </c>
    </row>
    <row r="284" customFormat="false" ht="15" hidden="false" customHeight="false" outlineLevel="0" collapsed="false">
      <c r="A284" s="7" t="s">
        <v>359</v>
      </c>
      <c r="B284" s="7" t="s">
        <v>360</v>
      </c>
      <c r="C284" s="7" t="s">
        <v>361</v>
      </c>
      <c r="D284" s="7" t="s">
        <v>936</v>
      </c>
      <c r="E284" s="7" t="s">
        <v>137</v>
      </c>
      <c r="F284" s="7" t="s">
        <v>937</v>
      </c>
    </row>
    <row r="285" customFormat="false" ht="15" hidden="false" customHeight="false" outlineLevel="0" collapsed="false">
      <c r="A285" s="7" t="s">
        <v>359</v>
      </c>
      <c r="B285" s="7" t="s">
        <v>360</v>
      </c>
      <c r="C285" s="7" t="s">
        <v>361</v>
      </c>
      <c r="D285" s="7" t="s">
        <v>938</v>
      </c>
      <c r="E285" s="7" t="s">
        <v>289</v>
      </c>
      <c r="F285" s="7" t="s">
        <v>939</v>
      </c>
    </row>
    <row r="286" customFormat="false" ht="15" hidden="false" customHeight="false" outlineLevel="0" collapsed="false">
      <c r="A286" s="7" t="s">
        <v>359</v>
      </c>
      <c r="B286" s="7" t="s">
        <v>360</v>
      </c>
      <c r="C286" s="7" t="s">
        <v>361</v>
      </c>
      <c r="D286" s="7" t="s">
        <v>940</v>
      </c>
      <c r="E286" s="7" t="s">
        <v>56</v>
      </c>
      <c r="F286" s="7" t="s">
        <v>941</v>
      </c>
    </row>
    <row r="287" customFormat="false" ht="15" hidden="false" customHeight="false" outlineLevel="0" collapsed="false">
      <c r="A287" s="7" t="s">
        <v>359</v>
      </c>
      <c r="B287" s="7" t="s">
        <v>360</v>
      </c>
      <c r="C287" s="7" t="s">
        <v>361</v>
      </c>
      <c r="D287" s="7" t="s">
        <v>942</v>
      </c>
      <c r="E287" s="7" t="s">
        <v>137</v>
      </c>
      <c r="F287" s="7" t="s">
        <v>943</v>
      </c>
    </row>
    <row r="288" customFormat="false" ht="15" hidden="false" customHeight="false" outlineLevel="0" collapsed="false">
      <c r="A288" s="7" t="s">
        <v>359</v>
      </c>
      <c r="B288" s="7" t="s">
        <v>360</v>
      </c>
      <c r="C288" s="7" t="s">
        <v>361</v>
      </c>
      <c r="D288" s="7" t="s">
        <v>944</v>
      </c>
      <c r="E288" s="7" t="s">
        <v>228</v>
      </c>
      <c r="F288" s="7" t="s">
        <v>945</v>
      </c>
    </row>
    <row r="289" customFormat="false" ht="15" hidden="false" customHeight="false" outlineLevel="0" collapsed="false">
      <c r="A289" s="7" t="s">
        <v>359</v>
      </c>
      <c r="B289" s="7" t="s">
        <v>360</v>
      </c>
      <c r="C289" s="7" t="s">
        <v>361</v>
      </c>
      <c r="D289" s="7" t="s">
        <v>946</v>
      </c>
      <c r="E289" s="7" t="s">
        <v>116</v>
      </c>
      <c r="F289" s="7" t="s">
        <v>947</v>
      </c>
    </row>
    <row r="290" customFormat="false" ht="15" hidden="false" customHeight="false" outlineLevel="0" collapsed="false">
      <c r="A290" s="7" t="s">
        <v>359</v>
      </c>
      <c r="B290" s="7" t="s">
        <v>360</v>
      </c>
      <c r="C290" s="7" t="s">
        <v>361</v>
      </c>
      <c r="D290" s="7" t="s">
        <v>948</v>
      </c>
      <c r="E290" s="7" t="s">
        <v>350</v>
      </c>
      <c r="F290" s="7" t="s">
        <v>949</v>
      </c>
    </row>
    <row r="291" customFormat="false" ht="15" hidden="false" customHeight="false" outlineLevel="0" collapsed="false">
      <c r="A291" s="7" t="s">
        <v>359</v>
      </c>
      <c r="B291" s="7" t="s">
        <v>360</v>
      </c>
      <c r="C291" s="7" t="s">
        <v>361</v>
      </c>
      <c r="D291" s="7" t="s">
        <v>950</v>
      </c>
      <c r="E291" s="7" t="s">
        <v>305</v>
      </c>
      <c r="F291" s="7" t="s">
        <v>951</v>
      </c>
    </row>
    <row r="292" customFormat="false" ht="15" hidden="false" customHeight="false" outlineLevel="0" collapsed="false">
      <c r="A292" s="7" t="s">
        <v>359</v>
      </c>
      <c r="B292" s="7" t="s">
        <v>360</v>
      </c>
      <c r="C292" s="7" t="s">
        <v>361</v>
      </c>
      <c r="D292" s="7" t="s">
        <v>952</v>
      </c>
      <c r="E292" s="7" t="s">
        <v>171</v>
      </c>
      <c r="F292" s="7" t="s">
        <v>953</v>
      </c>
    </row>
    <row r="293" customFormat="false" ht="15" hidden="false" customHeight="false" outlineLevel="0" collapsed="false">
      <c r="A293" s="7" t="s">
        <v>359</v>
      </c>
      <c r="B293" s="7" t="s">
        <v>360</v>
      </c>
      <c r="C293" s="7" t="s">
        <v>361</v>
      </c>
      <c r="D293" s="7" t="s">
        <v>954</v>
      </c>
      <c r="E293" s="7" t="s">
        <v>212</v>
      </c>
      <c r="F293" s="7" t="s">
        <v>955</v>
      </c>
    </row>
    <row r="294" customFormat="false" ht="15" hidden="false" customHeight="false" outlineLevel="0" collapsed="false">
      <c r="A294" s="7" t="s">
        <v>359</v>
      </c>
      <c r="B294" s="7" t="s">
        <v>360</v>
      </c>
      <c r="C294" s="7" t="s">
        <v>361</v>
      </c>
      <c r="D294" s="7" t="s">
        <v>956</v>
      </c>
      <c r="E294" s="7" t="s">
        <v>151</v>
      </c>
      <c r="F294" s="7" t="s">
        <v>957</v>
      </c>
    </row>
    <row r="295" customFormat="false" ht="15" hidden="false" customHeight="false" outlineLevel="0" collapsed="false">
      <c r="A295" s="7" t="s">
        <v>359</v>
      </c>
      <c r="B295" s="7" t="s">
        <v>360</v>
      </c>
      <c r="C295" s="7" t="s">
        <v>361</v>
      </c>
      <c r="D295" s="7" t="s">
        <v>958</v>
      </c>
      <c r="E295" s="7" t="s">
        <v>309</v>
      </c>
      <c r="F295" s="7" t="s">
        <v>959</v>
      </c>
    </row>
    <row r="296" customFormat="false" ht="15" hidden="false" customHeight="false" outlineLevel="0" collapsed="false">
      <c r="A296" s="7" t="s">
        <v>359</v>
      </c>
      <c r="B296" s="7" t="s">
        <v>360</v>
      </c>
      <c r="C296" s="7" t="s">
        <v>361</v>
      </c>
      <c r="D296" s="7" t="s">
        <v>960</v>
      </c>
      <c r="E296" s="7" t="s">
        <v>269</v>
      </c>
      <c r="F296" s="7" t="s">
        <v>961</v>
      </c>
    </row>
    <row r="297" customFormat="false" ht="15" hidden="false" customHeight="false" outlineLevel="0" collapsed="false">
      <c r="A297" s="7" t="s">
        <v>359</v>
      </c>
      <c r="B297" s="7" t="s">
        <v>360</v>
      </c>
      <c r="C297" s="7" t="s">
        <v>361</v>
      </c>
      <c r="D297" s="7" t="s">
        <v>962</v>
      </c>
      <c r="E297" s="7" t="s">
        <v>269</v>
      </c>
      <c r="F297" s="7" t="s">
        <v>963</v>
      </c>
    </row>
    <row r="298" customFormat="false" ht="15" hidden="false" customHeight="false" outlineLevel="0" collapsed="false">
      <c r="A298" s="7" t="s">
        <v>359</v>
      </c>
      <c r="B298" s="7" t="s">
        <v>360</v>
      </c>
      <c r="C298" s="7" t="s">
        <v>361</v>
      </c>
      <c r="D298" s="7" t="s">
        <v>964</v>
      </c>
      <c r="E298" s="7" t="s">
        <v>146</v>
      </c>
      <c r="F298" s="7" t="s">
        <v>965</v>
      </c>
    </row>
    <row r="299" customFormat="false" ht="15" hidden="false" customHeight="false" outlineLevel="0" collapsed="false">
      <c r="A299" s="7" t="s">
        <v>359</v>
      </c>
      <c r="B299" s="7" t="s">
        <v>360</v>
      </c>
      <c r="C299" s="7" t="s">
        <v>361</v>
      </c>
      <c r="D299" s="7" t="s">
        <v>966</v>
      </c>
      <c r="E299" s="7" t="s">
        <v>130</v>
      </c>
      <c r="F299" s="7" t="s">
        <v>967</v>
      </c>
    </row>
    <row r="300" customFormat="false" ht="15" hidden="false" customHeight="false" outlineLevel="0" collapsed="false">
      <c r="A300" s="7" t="s">
        <v>359</v>
      </c>
      <c r="B300" s="7" t="s">
        <v>360</v>
      </c>
      <c r="C300" s="7" t="s">
        <v>361</v>
      </c>
      <c r="D300" s="7" t="s">
        <v>968</v>
      </c>
      <c r="E300" s="7" t="s">
        <v>157</v>
      </c>
      <c r="F300" s="7" t="s">
        <v>969</v>
      </c>
    </row>
    <row r="301" customFormat="false" ht="15" hidden="false" customHeight="false" outlineLevel="0" collapsed="false">
      <c r="A301" s="7" t="s">
        <v>359</v>
      </c>
      <c r="B301" s="7" t="s">
        <v>360</v>
      </c>
      <c r="C301" s="7" t="s">
        <v>361</v>
      </c>
      <c r="D301" s="7" t="s">
        <v>970</v>
      </c>
      <c r="E301" s="7" t="s">
        <v>332</v>
      </c>
      <c r="F301" s="7" t="s">
        <v>971</v>
      </c>
    </row>
    <row r="302" customFormat="false" ht="15" hidden="false" customHeight="false" outlineLevel="0" collapsed="false">
      <c r="A302" s="7" t="s">
        <v>359</v>
      </c>
      <c r="B302" s="7" t="s">
        <v>360</v>
      </c>
      <c r="C302" s="7" t="s">
        <v>361</v>
      </c>
      <c r="D302" s="7" t="s">
        <v>972</v>
      </c>
      <c r="E302" s="7" t="s">
        <v>252</v>
      </c>
      <c r="F302" s="7" t="s">
        <v>973</v>
      </c>
    </row>
    <row r="303" customFormat="false" ht="15" hidden="false" customHeight="false" outlineLevel="0" collapsed="false">
      <c r="A303" s="7" t="s">
        <v>359</v>
      </c>
      <c r="B303" s="7" t="s">
        <v>360</v>
      </c>
      <c r="C303" s="7" t="s">
        <v>361</v>
      </c>
      <c r="D303" s="7" t="s">
        <v>974</v>
      </c>
      <c r="E303" s="7" t="s">
        <v>351</v>
      </c>
      <c r="F303" s="7" t="s">
        <v>975</v>
      </c>
    </row>
    <row r="304" customFormat="false" ht="15" hidden="false" customHeight="false" outlineLevel="0" collapsed="false">
      <c r="A304" s="7" t="s">
        <v>359</v>
      </c>
      <c r="B304" s="7" t="s">
        <v>360</v>
      </c>
      <c r="C304" s="7" t="s">
        <v>361</v>
      </c>
      <c r="D304" s="7" t="s">
        <v>976</v>
      </c>
      <c r="E304" s="7" t="s">
        <v>178</v>
      </c>
      <c r="F304" s="7" t="s">
        <v>977</v>
      </c>
    </row>
    <row r="305" customFormat="false" ht="15" hidden="false" customHeight="false" outlineLevel="0" collapsed="false">
      <c r="A305" s="7" t="s">
        <v>359</v>
      </c>
      <c r="B305" s="7" t="s">
        <v>360</v>
      </c>
      <c r="C305" s="7" t="s">
        <v>361</v>
      </c>
      <c r="D305" s="7" t="s">
        <v>978</v>
      </c>
      <c r="E305" s="7" t="s">
        <v>262</v>
      </c>
      <c r="F305" s="7" t="s">
        <v>979</v>
      </c>
    </row>
    <row r="306" customFormat="false" ht="15" hidden="false" customHeight="false" outlineLevel="0" collapsed="false">
      <c r="A306" s="7" t="s">
        <v>359</v>
      </c>
      <c r="B306" s="7" t="s">
        <v>360</v>
      </c>
      <c r="C306" s="7" t="s">
        <v>361</v>
      </c>
      <c r="D306" s="7" t="s">
        <v>980</v>
      </c>
      <c r="E306" s="7" t="s">
        <v>96</v>
      </c>
      <c r="F306" s="7" t="s">
        <v>981</v>
      </c>
    </row>
    <row r="307" customFormat="false" ht="15" hidden="false" customHeight="false" outlineLevel="0" collapsed="false">
      <c r="A307" s="7" t="s">
        <v>359</v>
      </c>
      <c r="B307" s="7" t="s">
        <v>360</v>
      </c>
      <c r="C307" s="7" t="s">
        <v>361</v>
      </c>
      <c r="D307" s="7" t="s">
        <v>982</v>
      </c>
      <c r="E307" s="7" t="s">
        <v>140</v>
      </c>
      <c r="F307" s="7" t="s">
        <v>983</v>
      </c>
    </row>
    <row r="308" customFormat="false" ht="15" hidden="false" customHeight="false" outlineLevel="0" collapsed="false">
      <c r="A308" s="7" t="s">
        <v>359</v>
      </c>
      <c r="B308" s="7" t="s">
        <v>360</v>
      </c>
      <c r="C308" s="7" t="s">
        <v>361</v>
      </c>
      <c r="D308" s="7" t="s">
        <v>984</v>
      </c>
      <c r="E308" s="7" t="s">
        <v>228</v>
      </c>
      <c r="F308" s="7" t="s">
        <v>985</v>
      </c>
    </row>
    <row r="309" customFormat="false" ht="15" hidden="false" customHeight="false" outlineLevel="0" collapsed="false">
      <c r="A309" s="7" t="s">
        <v>359</v>
      </c>
      <c r="B309" s="7" t="s">
        <v>360</v>
      </c>
      <c r="C309" s="7" t="s">
        <v>361</v>
      </c>
      <c r="D309" s="7" t="s">
        <v>986</v>
      </c>
      <c r="E309" s="7" t="s">
        <v>85</v>
      </c>
      <c r="F309" s="7" t="s">
        <v>987</v>
      </c>
    </row>
    <row r="310" customFormat="false" ht="15" hidden="false" customHeight="false" outlineLevel="0" collapsed="false">
      <c r="A310" s="7" t="s">
        <v>359</v>
      </c>
      <c r="B310" s="7" t="s">
        <v>360</v>
      </c>
      <c r="C310" s="7" t="s">
        <v>361</v>
      </c>
      <c r="D310" s="7" t="s">
        <v>988</v>
      </c>
      <c r="E310" s="7" t="s">
        <v>77</v>
      </c>
      <c r="F310" s="7" t="s">
        <v>989</v>
      </c>
    </row>
    <row r="311" customFormat="false" ht="15" hidden="false" customHeight="false" outlineLevel="0" collapsed="false">
      <c r="A311" s="7" t="s">
        <v>359</v>
      </c>
      <c r="B311" s="7" t="s">
        <v>360</v>
      </c>
      <c r="C311" s="7" t="s">
        <v>361</v>
      </c>
      <c r="D311" s="7" t="s">
        <v>990</v>
      </c>
      <c r="E311" s="7" t="s">
        <v>188</v>
      </c>
      <c r="F311" s="7" t="s">
        <v>991</v>
      </c>
    </row>
    <row r="312" customFormat="false" ht="15" hidden="false" customHeight="false" outlineLevel="0" collapsed="false">
      <c r="A312" s="7" t="s">
        <v>359</v>
      </c>
      <c r="B312" s="7" t="s">
        <v>360</v>
      </c>
      <c r="C312" s="7" t="s">
        <v>361</v>
      </c>
      <c r="D312" s="7" t="s">
        <v>992</v>
      </c>
      <c r="E312" s="7" t="s">
        <v>85</v>
      </c>
      <c r="F312" s="7" t="s">
        <v>993</v>
      </c>
    </row>
    <row r="313" customFormat="false" ht="15" hidden="false" customHeight="false" outlineLevel="0" collapsed="false">
      <c r="A313" s="7" t="s">
        <v>359</v>
      </c>
      <c r="B313" s="7" t="s">
        <v>360</v>
      </c>
      <c r="C313" s="7" t="s">
        <v>361</v>
      </c>
      <c r="D313" s="7" t="s">
        <v>994</v>
      </c>
      <c r="E313" s="7" t="s">
        <v>270</v>
      </c>
      <c r="F313" s="7" t="s">
        <v>995</v>
      </c>
    </row>
    <row r="314" customFormat="false" ht="15" hidden="false" customHeight="false" outlineLevel="0" collapsed="false">
      <c r="A314" s="7" t="s">
        <v>359</v>
      </c>
      <c r="B314" s="7" t="s">
        <v>360</v>
      </c>
      <c r="C314" s="7" t="s">
        <v>361</v>
      </c>
      <c r="D314" s="7" t="s">
        <v>996</v>
      </c>
      <c r="E314" s="7" t="s">
        <v>45</v>
      </c>
      <c r="F314" s="7" t="s">
        <v>997</v>
      </c>
    </row>
    <row r="315" customFormat="false" ht="15" hidden="false" customHeight="false" outlineLevel="0" collapsed="false">
      <c r="A315" s="7" t="s">
        <v>359</v>
      </c>
      <c r="B315" s="7" t="s">
        <v>360</v>
      </c>
      <c r="C315" s="7" t="s">
        <v>361</v>
      </c>
      <c r="D315" s="7" t="s">
        <v>998</v>
      </c>
      <c r="E315" s="7" t="s">
        <v>336</v>
      </c>
      <c r="F315" s="7" t="s">
        <v>999</v>
      </c>
    </row>
    <row r="316" customFormat="false" ht="15" hidden="false" customHeight="false" outlineLevel="0" collapsed="false">
      <c r="A316" s="7" t="s">
        <v>359</v>
      </c>
      <c r="B316" s="7" t="s">
        <v>360</v>
      </c>
      <c r="C316" s="7" t="s">
        <v>361</v>
      </c>
      <c r="D316" s="7" t="s">
        <v>1000</v>
      </c>
      <c r="E316" s="7" t="s">
        <v>215</v>
      </c>
      <c r="F316" s="7" t="s">
        <v>1001</v>
      </c>
    </row>
    <row r="317" customFormat="false" ht="15" hidden="false" customHeight="false" outlineLevel="0" collapsed="false">
      <c r="A317" s="7" t="s">
        <v>359</v>
      </c>
      <c r="B317" s="7" t="s">
        <v>360</v>
      </c>
      <c r="C317" s="7" t="s">
        <v>361</v>
      </c>
      <c r="D317" s="7" t="s">
        <v>1002</v>
      </c>
      <c r="E317" s="7" t="s">
        <v>267</v>
      </c>
      <c r="F317" s="7" t="s">
        <v>1003</v>
      </c>
    </row>
    <row r="318" customFormat="false" ht="15" hidden="false" customHeight="false" outlineLevel="0" collapsed="false">
      <c r="A318" s="7" t="s">
        <v>359</v>
      </c>
      <c r="B318" s="7" t="s">
        <v>360</v>
      </c>
      <c r="C318" s="7" t="s">
        <v>361</v>
      </c>
      <c r="D318" s="7" t="s">
        <v>1004</v>
      </c>
      <c r="E318" s="7" t="s">
        <v>243</v>
      </c>
      <c r="F318" s="7" t="s">
        <v>1005</v>
      </c>
    </row>
    <row r="319" customFormat="false" ht="15" hidden="false" customHeight="false" outlineLevel="0" collapsed="false">
      <c r="A319" s="7" t="s">
        <v>359</v>
      </c>
      <c r="B319" s="7" t="s">
        <v>360</v>
      </c>
      <c r="C319" s="7" t="s">
        <v>361</v>
      </c>
      <c r="D319" s="7" t="s">
        <v>1006</v>
      </c>
      <c r="E319" s="7" t="s">
        <v>100</v>
      </c>
      <c r="F319" s="7" t="s">
        <v>1007</v>
      </c>
    </row>
    <row r="320" customFormat="false" ht="15" hidden="false" customHeight="false" outlineLevel="0" collapsed="false">
      <c r="A320" s="7" t="s">
        <v>359</v>
      </c>
      <c r="B320" s="7" t="s">
        <v>360</v>
      </c>
      <c r="C320" s="7" t="s">
        <v>361</v>
      </c>
      <c r="D320" s="7" t="s">
        <v>1008</v>
      </c>
      <c r="E320" s="7" t="s">
        <v>94</v>
      </c>
      <c r="F320" s="7" t="s">
        <v>1009</v>
      </c>
    </row>
    <row r="321" customFormat="false" ht="15" hidden="false" customHeight="false" outlineLevel="0" collapsed="false">
      <c r="A321" s="7" t="s">
        <v>359</v>
      </c>
      <c r="B321" s="7" t="s">
        <v>360</v>
      </c>
      <c r="C321" s="7" t="s">
        <v>361</v>
      </c>
      <c r="D321" s="7" t="s">
        <v>1010</v>
      </c>
      <c r="E321" s="7" t="s">
        <v>171</v>
      </c>
      <c r="F321" s="7" t="s">
        <v>1011</v>
      </c>
    </row>
    <row r="322" customFormat="false" ht="15" hidden="false" customHeight="false" outlineLevel="0" collapsed="false">
      <c r="A322" s="7" t="s">
        <v>359</v>
      </c>
      <c r="B322" s="7" t="s">
        <v>360</v>
      </c>
      <c r="C322" s="7" t="s">
        <v>361</v>
      </c>
      <c r="D322" s="7" t="s">
        <v>1012</v>
      </c>
      <c r="E322" s="7" t="s">
        <v>336</v>
      </c>
      <c r="F322" s="7" t="s">
        <v>1013</v>
      </c>
    </row>
    <row r="323" customFormat="false" ht="15" hidden="false" customHeight="false" outlineLevel="0" collapsed="false">
      <c r="A323" s="7" t="s">
        <v>359</v>
      </c>
      <c r="B323" s="7" t="s">
        <v>360</v>
      </c>
      <c r="C323" s="7" t="s">
        <v>361</v>
      </c>
      <c r="D323" s="7" t="s">
        <v>1014</v>
      </c>
      <c r="E323" s="7" t="s">
        <v>344</v>
      </c>
      <c r="F323" s="7" t="s">
        <v>1015</v>
      </c>
    </row>
    <row r="324" customFormat="false" ht="15" hidden="false" customHeight="false" outlineLevel="0" collapsed="false">
      <c r="A324" s="7" t="s">
        <v>359</v>
      </c>
      <c r="B324" s="7" t="s">
        <v>360</v>
      </c>
      <c r="C324" s="7" t="s">
        <v>361</v>
      </c>
      <c r="D324" s="7" t="s">
        <v>1016</v>
      </c>
      <c r="E324" s="7" t="s">
        <v>254</v>
      </c>
      <c r="F324" s="7" t="s">
        <v>1017</v>
      </c>
    </row>
    <row r="325" customFormat="false" ht="15" hidden="false" customHeight="false" outlineLevel="0" collapsed="false">
      <c r="A325" s="7" t="s">
        <v>359</v>
      </c>
      <c r="B325" s="7" t="s">
        <v>360</v>
      </c>
      <c r="C325" s="7" t="s">
        <v>361</v>
      </c>
      <c r="D325" s="7" t="s">
        <v>1018</v>
      </c>
      <c r="E325" s="7" t="s">
        <v>275</v>
      </c>
      <c r="F325" s="7" t="s">
        <v>1019</v>
      </c>
    </row>
    <row r="326" customFormat="false" ht="15" hidden="false" customHeight="false" outlineLevel="0" collapsed="false">
      <c r="A326" s="7" t="s">
        <v>359</v>
      </c>
      <c r="B326" s="7" t="s">
        <v>360</v>
      </c>
      <c r="C326" s="7" t="s">
        <v>361</v>
      </c>
      <c r="D326" s="7" t="s">
        <v>1020</v>
      </c>
      <c r="E326" s="7" t="s">
        <v>140</v>
      </c>
      <c r="F326" s="7" t="s">
        <v>1021</v>
      </c>
    </row>
    <row r="327" customFormat="false" ht="15" hidden="false" customHeight="false" outlineLevel="0" collapsed="false">
      <c r="A327" s="7" t="s">
        <v>359</v>
      </c>
      <c r="B327" s="7" t="s">
        <v>360</v>
      </c>
      <c r="C327" s="7" t="s">
        <v>361</v>
      </c>
      <c r="D327" s="7" t="s">
        <v>1022</v>
      </c>
      <c r="E327" s="7" t="s">
        <v>65</v>
      </c>
      <c r="F327" s="7" t="s">
        <v>1023</v>
      </c>
    </row>
    <row r="328" customFormat="false" ht="15" hidden="false" customHeight="false" outlineLevel="0" collapsed="false">
      <c r="A328" s="7" t="s">
        <v>359</v>
      </c>
      <c r="B328" s="7" t="s">
        <v>360</v>
      </c>
      <c r="C328" s="7" t="s">
        <v>361</v>
      </c>
      <c r="D328" s="7" t="s">
        <v>1024</v>
      </c>
      <c r="E328" s="7" t="s">
        <v>269</v>
      </c>
      <c r="F328" s="7" t="s">
        <v>1025</v>
      </c>
    </row>
    <row r="329" customFormat="false" ht="15" hidden="false" customHeight="false" outlineLevel="0" collapsed="false">
      <c r="A329" s="7" t="s">
        <v>359</v>
      </c>
      <c r="B329" s="7" t="s">
        <v>360</v>
      </c>
      <c r="C329" s="7" t="s">
        <v>361</v>
      </c>
      <c r="D329" s="7" t="s">
        <v>1026</v>
      </c>
      <c r="E329" s="7" t="s">
        <v>59</v>
      </c>
      <c r="F329" s="7" t="s">
        <v>1027</v>
      </c>
    </row>
    <row r="330" customFormat="false" ht="15" hidden="false" customHeight="false" outlineLevel="0" collapsed="false">
      <c r="A330" s="7" t="s">
        <v>359</v>
      </c>
      <c r="B330" s="7" t="s">
        <v>360</v>
      </c>
      <c r="C330" s="7" t="s">
        <v>361</v>
      </c>
      <c r="D330" s="7" t="s">
        <v>1028</v>
      </c>
      <c r="E330" s="7" t="s">
        <v>178</v>
      </c>
      <c r="F330" s="7" t="s">
        <v>1029</v>
      </c>
    </row>
    <row r="331" customFormat="false" ht="15" hidden="false" customHeight="false" outlineLevel="0" collapsed="false">
      <c r="A331" s="7" t="s">
        <v>359</v>
      </c>
      <c r="B331" s="7" t="s">
        <v>360</v>
      </c>
      <c r="C331" s="7" t="s">
        <v>361</v>
      </c>
      <c r="D331" s="7" t="s">
        <v>1030</v>
      </c>
      <c r="E331" s="7" t="s">
        <v>277</v>
      </c>
      <c r="F331" s="7" t="s">
        <v>1031</v>
      </c>
    </row>
    <row r="332" customFormat="false" ht="15" hidden="false" customHeight="false" outlineLevel="0" collapsed="false">
      <c r="A332" s="7" t="s">
        <v>359</v>
      </c>
      <c r="B332" s="7" t="s">
        <v>360</v>
      </c>
      <c r="C332" s="7" t="s">
        <v>361</v>
      </c>
      <c r="D332" s="7" t="s">
        <v>1032</v>
      </c>
      <c r="E332" s="7" t="s">
        <v>135</v>
      </c>
      <c r="F332" s="7" t="s">
        <v>1033</v>
      </c>
    </row>
    <row r="333" customFormat="false" ht="15" hidden="false" customHeight="false" outlineLevel="0" collapsed="false">
      <c r="A333" s="7" t="s">
        <v>359</v>
      </c>
      <c r="B333" s="7" t="s">
        <v>360</v>
      </c>
      <c r="C333" s="7" t="s">
        <v>361</v>
      </c>
      <c r="D333" s="7" t="s">
        <v>1034</v>
      </c>
      <c r="E333" s="7" t="s">
        <v>323</v>
      </c>
      <c r="F333" s="7" t="s">
        <v>1035</v>
      </c>
    </row>
    <row r="334" customFormat="false" ht="15" hidden="false" customHeight="false" outlineLevel="0" collapsed="false">
      <c r="A334" s="7" t="s">
        <v>359</v>
      </c>
      <c r="B334" s="7" t="s">
        <v>360</v>
      </c>
      <c r="C334" s="7" t="s">
        <v>361</v>
      </c>
      <c r="D334" s="7" t="s">
        <v>1036</v>
      </c>
      <c r="E334" s="7" t="s">
        <v>108</v>
      </c>
      <c r="F334" s="7" t="s">
        <v>1037</v>
      </c>
    </row>
    <row r="335" customFormat="false" ht="15" hidden="false" customHeight="false" outlineLevel="0" collapsed="false">
      <c r="A335" s="7" t="s">
        <v>359</v>
      </c>
      <c r="B335" s="7" t="s">
        <v>360</v>
      </c>
      <c r="C335" s="7" t="s">
        <v>361</v>
      </c>
      <c r="D335" s="7" t="s">
        <v>1038</v>
      </c>
      <c r="E335" s="7" t="s">
        <v>192</v>
      </c>
      <c r="F335" s="7" t="s">
        <v>1039</v>
      </c>
    </row>
    <row r="336" customFormat="false" ht="15" hidden="false" customHeight="false" outlineLevel="0" collapsed="false">
      <c r="A336" s="7" t="s">
        <v>359</v>
      </c>
      <c r="B336" s="7" t="s">
        <v>360</v>
      </c>
      <c r="C336" s="7" t="s">
        <v>361</v>
      </c>
      <c r="D336" s="7" t="s">
        <v>1040</v>
      </c>
      <c r="E336" s="7" t="s">
        <v>277</v>
      </c>
      <c r="F336" s="7" t="s">
        <v>1041</v>
      </c>
    </row>
    <row r="337" customFormat="false" ht="15" hidden="false" customHeight="false" outlineLevel="0" collapsed="false">
      <c r="A337" s="7" t="s">
        <v>359</v>
      </c>
      <c r="B337" s="7" t="s">
        <v>360</v>
      </c>
      <c r="C337" s="7" t="s">
        <v>361</v>
      </c>
      <c r="D337" s="7" t="s">
        <v>1042</v>
      </c>
      <c r="E337" s="7" t="s">
        <v>314</v>
      </c>
      <c r="F337" s="7" t="s">
        <v>1043</v>
      </c>
    </row>
    <row r="338" customFormat="false" ht="15" hidden="false" customHeight="false" outlineLevel="0" collapsed="false">
      <c r="A338" s="7" t="s">
        <v>359</v>
      </c>
      <c r="B338" s="7" t="s">
        <v>360</v>
      </c>
      <c r="C338" s="7" t="s">
        <v>361</v>
      </c>
      <c r="D338" s="7" t="s">
        <v>1044</v>
      </c>
      <c r="E338" s="7" t="s">
        <v>260</v>
      </c>
      <c r="F338" s="7" t="s">
        <v>1045</v>
      </c>
    </row>
    <row r="339" customFormat="false" ht="15" hidden="false" customHeight="false" outlineLevel="0" collapsed="false">
      <c r="A339" s="7" t="s">
        <v>359</v>
      </c>
      <c r="B339" s="7" t="s">
        <v>360</v>
      </c>
      <c r="C339" s="7" t="s">
        <v>361</v>
      </c>
      <c r="D339" s="7" t="s">
        <v>1046</v>
      </c>
      <c r="E339" s="7" t="s">
        <v>205</v>
      </c>
      <c r="F339" s="7" t="s">
        <v>1047</v>
      </c>
    </row>
    <row r="340" customFormat="false" ht="15" hidden="false" customHeight="false" outlineLevel="0" collapsed="false">
      <c r="A340" s="7" t="s">
        <v>359</v>
      </c>
      <c r="B340" s="7" t="s">
        <v>360</v>
      </c>
      <c r="C340" s="7" t="s">
        <v>361</v>
      </c>
      <c r="D340" s="7" t="s">
        <v>1048</v>
      </c>
      <c r="E340" s="7" t="s">
        <v>98</v>
      </c>
      <c r="F340" s="7" t="s">
        <v>1049</v>
      </c>
    </row>
    <row r="341" customFormat="false" ht="15" hidden="false" customHeight="false" outlineLevel="0" collapsed="false">
      <c r="A341" s="7" t="s">
        <v>359</v>
      </c>
      <c r="B341" s="7" t="s">
        <v>360</v>
      </c>
      <c r="C341" s="7" t="s">
        <v>361</v>
      </c>
      <c r="D341" s="7" t="s">
        <v>1050</v>
      </c>
      <c r="E341" s="7" t="s">
        <v>314</v>
      </c>
      <c r="F341" s="7" t="s">
        <v>1051</v>
      </c>
    </row>
    <row r="342" customFormat="false" ht="15" hidden="false" customHeight="false" outlineLevel="0" collapsed="false">
      <c r="A342" s="7" t="s">
        <v>359</v>
      </c>
      <c r="B342" s="7" t="s">
        <v>360</v>
      </c>
      <c r="C342" s="7" t="s">
        <v>361</v>
      </c>
      <c r="D342" s="7" t="s">
        <v>1052</v>
      </c>
      <c r="E342" s="7" t="s">
        <v>279</v>
      </c>
      <c r="F342" s="7" t="s">
        <v>1053</v>
      </c>
    </row>
    <row r="343" customFormat="false" ht="15" hidden="false" customHeight="false" outlineLevel="0" collapsed="false">
      <c r="A343" s="7" t="s">
        <v>359</v>
      </c>
      <c r="B343" s="7" t="s">
        <v>360</v>
      </c>
      <c r="C343" s="7" t="s">
        <v>361</v>
      </c>
      <c r="D343" s="7" t="s">
        <v>1054</v>
      </c>
      <c r="E343" s="7" t="s">
        <v>273</v>
      </c>
      <c r="F343" s="7" t="s">
        <v>1055</v>
      </c>
    </row>
    <row r="344" customFormat="false" ht="15" hidden="false" customHeight="false" outlineLevel="0" collapsed="false">
      <c r="A344" s="7" t="s">
        <v>359</v>
      </c>
      <c r="B344" s="7" t="s">
        <v>360</v>
      </c>
      <c r="C344" s="7" t="s">
        <v>361</v>
      </c>
      <c r="D344" s="7" t="s">
        <v>1056</v>
      </c>
      <c r="E344" s="7" t="s">
        <v>188</v>
      </c>
      <c r="F344" s="7" t="s">
        <v>1057</v>
      </c>
    </row>
    <row r="345" customFormat="false" ht="15" hidden="false" customHeight="false" outlineLevel="0" collapsed="false">
      <c r="A345" s="7" t="s">
        <v>359</v>
      </c>
      <c r="B345" s="7" t="s">
        <v>360</v>
      </c>
      <c r="C345" s="7" t="s">
        <v>361</v>
      </c>
      <c r="D345" s="7" t="s">
        <v>1058</v>
      </c>
      <c r="E345" s="7" t="s">
        <v>153</v>
      </c>
      <c r="F345" s="7" t="s">
        <v>1059</v>
      </c>
    </row>
    <row r="346" customFormat="false" ht="15" hidden="false" customHeight="false" outlineLevel="0" collapsed="false">
      <c r="A346" s="7" t="s">
        <v>359</v>
      </c>
      <c r="B346" s="7" t="s">
        <v>360</v>
      </c>
      <c r="C346" s="7" t="s">
        <v>361</v>
      </c>
      <c r="D346" s="7" t="s">
        <v>1060</v>
      </c>
      <c r="E346" s="7" t="s">
        <v>205</v>
      </c>
      <c r="F346" s="7" t="s">
        <v>1061</v>
      </c>
    </row>
    <row r="347" customFormat="false" ht="15" hidden="false" customHeight="false" outlineLevel="0" collapsed="false">
      <c r="A347" s="7" t="s">
        <v>359</v>
      </c>
      <c r="B347" s="7" t="s">
        <v>360</v>
      </c>
      <c r="C347" s="7" t="s">
        <v>361</v>
      </c>
      <c r="D347" s="7" t="s">
        <v>1062</v>
      </c>
      <c r="E347" s="7" t="s">
        <v>314</v>
      </c>
      <c r="F347" s="7" t="s">
        <v>1063</v>
      </c>
    </row>
    <row r="348" customFormat="false" ht="15" hidden="false" customHeight="false" outlineLevel="0" collapsed="false">
      <c r="A348" s="7" t="s">
        <v>359</v>
      </c>
      <c r="B348" s="7" t="s">
        <v>360</v>
      </c>
      <c r="C348" s="7" t="s">
        <v>361</v>
      </c>
      <c r="D348" s="7" t="s">
        <v>1064</v>
      </c>
      <c r="E348" s="7" t="s">
        <v>197</v>
      </c>
      <c r="F348" s="7" t="s">
        <v>1065</v>
      </c>
    </row>
    <row r="349" customFormat="false" ht="15" hidden="false" customHeight="false" outlineLevel="0" collapsed="false">
      <c r="A349" s="7" t="s">
        <v>359</v>
      </c>
      <c r="B349" s="7" t="s">
        <v>360</v>
      </c>
      <c r="C349" s="7" t="s">
        <v>361</v>
      </c>
      <c r="D349" s="7" t="s">
        <v>1066</v>
      </c>
      <c r="E349" s="7" t="s">
        <v>216</v>
      </c>
      <c r="F349" s="7" t="s">
        <v>1067</v>
      </c>
    </row>
    <row r="350" customFormat="false" ht="15" hidden="false" customHeight="false" outlineLevel="0" collapsed="false">
      <c r="A350" s="7" t="s">
        <v>359</v>
      </c>
      <c r="B350" s="7" t="s">
        <v>360</v>
      </c>
      <c r="C350" s="7" t="s">
        <v>361</v>
      </c>
      <c r="D350" s="7" t="s">
        <v>1068</v>
      </c>
      <c r="E350" s="7" t="s">
        <v>47</v>
      </c>
      <c r="F350" s="7" t="s">
        <v>1069</v>
      </c>
    </row>
    <row r="351" customFormat="false" ht="15" hidden="false" customHeight="false" outlineLevel="0" collapsed="false">
      <c r="A351" s="7" t="s">
        <v>359</v>
      </c>
      <c r="B351" s="7" t="s">
        <v>360</v>
      </c>
      <c r="C351" s="7" t="s">
        <v>361</v>
      </c>
      <c r="D351" s="7" t="s">
        <v>1070</v>
      </c>
      <c r="E351" s="7" t="s">
        <v>61</v>
      </c>
      <c r="F351" s="7" t="s">
        <v>1071</v>
      </c>
    </row>
    <row r="352" customFormat="false" ht="15" hidden="false" customHeight="false" outlineLevel="0" collapsed="false">
      <c r="A352" s="7" t="s">
        <v>359</v>
      </c>
      <c r="B352" s="7" t="s">
        <v>360</v>
      </c>
      <c r="C352" s="7" t="s">
        <v>361</v>
      </c>
      <c r="D352" s="7" t="s">
        <v>1072</v>
      </c>
      <c r="E352" s="7" t="s">
        <v>131</v>
      </c>
      <c r="F352" s="7" t="s">
        <v>1073</v>
      </c>
    </row>
    <row r="353" customFormat="false" ht="15" hidden="false" customHeight="false" outlineLevel="0" collapsed="false">
      <c r="A353" s="7" t="s">
        <v>359</v>
      </c>
      <c r="B353" s="7" t="s">
        <v>360</v>
      </c>
      <c r="C353" s="7" t="s">
        <v>361</v>
      </c>
      <c r="D353" s="7" t="s">
        <v>1074</v>
      </c>
      <c r="E353" s="7" t="s">
        <v>149</v>
      </c>
      <c r="F353" s="7" t="s">
        <v>1075</v>
      </c>
    </row>
    <row r="354" customFormat="false" ht="15" hidden="false" customHeight="false" outlineLevel="0" collapsed="false">
      <c r="A354" s="7" t="s">
        <v>359</v>
      </c>
      <c r="B354" s="7" t="s">
        <v>360</v>
      </c>
      <c r="C354" s="7" t="s">
        <v>361</v>
      </c>
      <c r="D354" s="7" t="s">
        <v>1076</v>
      </c>
      <c r="E354" s="7" t="s">
        <v>128</v>
      </c>
      <c r="F354" s="7" t="s">
        <v>1077</v>
      </c>
    </row>
    <row r="355" customFormat="false" ht="15" hidden="false" customHeight="false" outlineLevel="0" collapsed="false">
      <c r="A355" s="7" t="s">
        <v>359</v>
      </c>
      <c r="B355" s="7" t="s">
        <v>360</v>
      </c>
      <c r="C355" s="7" t="s">
        <v>361</v>
      </c>
      <c r="D355" s="7" t="s">
        <v>1078</v>
      </c>
      <c r="E355" s="7" t="s">
        <v>190</v>
      </c>
      <c r="F355" s="7" t="s">
        <v>1079</v>
      </c>
    </row>
    <row r="356" customFormat="false" ht="15" hidden="false" customHeight="false" outlineLevel="0" collapsed="false">
      <c r="A356" s="7" t="s">
        <v>359</v>
      </c>
      <c r="B356" s="7" t="s">
        <v>360</v>
      </c>
      <c r="C356" s="7" t="s">
        <v>361</v>
      </c>
      <c r="D356" s="7" t="s">
        <v>1080</v>
      </c>
      <c r="E356" s="7" t="s">
        <v>169</v>
      </c>
      <c r="F356" s="7" t="s">
        <v>1081</v>
      </c>
    </row>
    <row r="357" customFormat="false" ht="15" hidden="false" customHeight="false" outlineLevel="0" collapsed="false">
      <c r="A357" s="7" t="s">
        <v>359</v>
      </c>
      <c r="B357" s="7" t="s">
        <v>360</v>
      </c>
      <c r="C357" s="7" t="s">
        <v>361</v>
      </c>
      <c r="D357" s="7" t="s">
        <v>1082</v>
      </c>
      <c r="E357" s="7" t="s">
        <v>169</v>
      </c>
      <c r="F357" s="7" t="s">
        <v>1083</v>
      </c>
    </row>
    <row r="358" customFormat="false" ht="15" hidden="false" customHeight="false" outlineLevel="0" collapsed="false">
      <c r="A358" s="7" t="s">
        <v>359</v>
      </c>
      <c r="B358" s="7" t="s">
        <v>360</v>
      </c>
      <c r="C358" s="7" t="s">
        <v>361</v>
      </c>
      <c r="D358" s="7" t="s">
        <v>1084</v>
      </c>
      <c r="E358" s="7" t="s">
        <v>264</v>
      </c>
      <c r="F358" s="7" t="s">
        <v>1085</v>
      </c>
    </row>
    <row r="359" customFormat="false" ht="15" hidden="false" customHeight="false" outlineLevel="0" collapsed="false">
      <c r="A359" s="7" t="s">
        <v>359</v>
      </c>
      <c r="B359" s="7" t="s">
        <v>360</v>
      </c>
      <c r="C359" s="7" t="s">
        <v>361</v>
      </c>
      <c r="D359" s="7" t="s">
        <v>1086</v>
      </c>
      <c r="E359" s="7" t="s">
        <v>149</v>
      </c>
      <c r="F359" s="7" t="s">
        <v>1087</v>
      </c>
    </row>
    <row r="360" customFormat="false" ht="15" hidden="false" customHeight="false" outlineLevel="0" collapsed="false">
      <c r="A360" s="7" t="s">
        <v>359</v>
      </c>
      <c r="B360" s="7" t="s">
        <v>360</v>
      </c>
      <c r="C360" s="7" t="s">
        <v>361</v>
      </c>
      <c r="D360" s="7" t="s">
        <v>1088</v>
      </c>
      <c r="E360" s="7" t="s">
        <v>163</v>
      </c>
      <c r="F360" s="7" t="s">
        <v>1089</v>
      </c>
    </row>
    <row r="361" customFormat="false" ht="15" hidden="false" customHeight="false" outlineLevel="0" collapsed="false">
      <c r="A361" s="7" t="s">
        <v>359</v>
      </c>
      <c r="B361" s="7" t="s">
        <v>360</v>
      </c>
      <c r="C361" s="7" t="s">
        <v>361</v>
      </c>
      <c r="D361" s="7" t="s">
        <v>1090</v>
      </c>
      <c r="E361" s="7" t="s">
        <v>207</v>
      </c>
      <c r="F361" s="7" t="s">
        <v>1091</v>
      </c>
    </row>
    <row r="362" customFormat="false" ht="15" hidden="false" customHeight="false" outlineLevel="0" collapsed="false">
      <c r="A362" s="7" t="s">
        <v>359</v>
      </c>
      <c r="B362" s="7" t="s">
        <v>360</v>
      </c>
      <c r="C362" s="7" t="s">
        <v>361</v>
      </c>
      <c r="D362" s="7" t="s">
        <v>1092</v>
      </c>
      <c r="E362" s="7" t="s">
        <v>350</v>
      </c>
      <c r="F362" s="7" t="s">
        <v>1093</v>
      </c>
    </row>
    <row r="363" customFormat="false" ht="15" hidden="false" customHeight="false" outlineLevel="0" collapsed="false">
      <c r="A363" s="7" t="s">
        <v>359</v>
      </c>
      <c r="B363" s="7" t="s">
        <v>360</v>
      </c>
      <c r="C363" s="7" t="s">
        <v>361</v>
      </c>
      <c r="D363" s="7" t="s">
        <v>1094</v>
      </c>
      <c r="E363" s="7" t="s">
        <v>94</v>
      </c>
      <c r="F363" s="7" t="s">
        <v>1095</v>
      </c>
    </row>
    <row r="364" customFormat="false" ht="15" hidden="false" customHeight="false" outlineLevel="0" collapsed="false">
      <c r="A364" s="7" t="s">
        <v>359</v>
      </c>
      <c r="B364" s="7" t="s">
        <v>360</v>
      </c>
      <c r="C364" s="7" t="s">
        <v>361</v>
      </c>
      <c r="D364" s="7" t="s">
        <v>1096</v>
      </c>
      <c r="E364" s="7" t="s">
        <v>111</v>
      </c>
      <c r="F364" s="7" t="s">
        <v>1097</v>
      </c>
    </row>
    <row r="365" customFormat="false" ht="15" hidden="false" customHeight="false" outlineLevel="0" collapsed="false">
      <c r="A365" s="7" t="s">
        <v>359</v>
      </c>
      <c r="B365" s="7" t="s">
        <v>360</v>
      </c>
      <c r="C365" s="7" t="s">
        <v>361</v>
      </c>
      <c r="D365" s="7" t="s">
        <v>1098</v>
      </c>
      <c r="E365" s="7" t="s">
        <v>327</v>
      </c>
      <c r="F365" s="7" t="s">
        <v>1099</v>
      </c>
    </row>
    <row r="366" customFormat="false" ht="15" hidden="false" customHeight="false" outlineLevel="0" collapsed="false">
      <c r="A366" s="7" t="s">
        <v>359</v>
      </c>
      <c r="B366" s="7" t="s">
        <v>360</v>
      </c>
      <c r="C366" s="7" t="s">
        <v>361</v>
      </c>
      <c r="D366" s="7" t="s">
        <v>1100</v>
      </c>
      <c r="E366" s="7" t="s">
        <v>81</v>
      </c>
      <c r="F366" s="7" t="s">
        <v>1101</v>
      </c>
    </row>
    <row r="367" customFormat="false" ht="15" hidden="false" customHeight="false" outlineLevel="0" collapsed="false">
      <c r="A367" s="7" t="s">
        <v>359</v>
      </c>
      <c r="B367" s="7" t="s">
        <v>360</v>
      </c>
      <c r="C367" s="7" t="s">
        <v>361</v>
      </c>
      <c r="D367" s="7" t="s">
        <v>1102</v>
      </c>
      <c r="E367" s="7" t="s">
        <v>300</v>
      </c>
      <c r="F367" s="7" t="s">
        <v>1103</v>
      </c>
    </row>
    <row r="368" customFormat="false" ht="15" hidden="false" customHeight="false" outlineLevel="0" collapsed="false">
      <c r="A368" s="7" t="s">
        <v>359</v>
      </c>
      <c r="B368" s="7" t="s">
        <v>360</v>
      </c>
      <c r="C368" s="7" t="s">
        <v>361</v>
      </c>
      <c r="D368" s="7" t="s">
        <v>1104</v>
      </c>
      <c r="E368" s="7" t="s">
        <v>269</v>
      </c>
      <c r="F368" s="7" t="s">
        <v>1105</v>
      </c>
    </row>
    <row r="369" customFormat="false" ht="15" hidden="false" customHeight="false" outlineLevel="0" collapsed="false">
      <c r="A369" s="7" t="s">
        <v>359</v>
      </c>
      <c r="B369" s="7" t="s">
        <v>360</v>
      </c>
      <c r="C369" s="7" t="s">
        <v>361</v>
      </c>
      <c r="D369" s="7" t="s">
        <v>1106</v>
      </c>
      <c r="E369" s="7" t="s">
        <v>96</v>
      </c>
      <c r="F369" s="7" t="s">
        <v>1107</v>
      </c>
    </row>
    <row r="370" customFormat="false" ht="15" hidden="false" customHeight="false" outlineLevel="0" collapsed="false">
      <c r="A370" s="7" t="s">
        <v>359</v>
      </c>
      <c r="B370" s="7" t="s">
        <v>360</v>
      </c>
      <c r="C370" s="7" t="s">
        <v>361</v>
      </c>
      <c r="D370" s="7" t="s">
        <v>1108</v>
      </c>
      <c r="E370" s="7" t="s">
        <v>56</v>
      </c>
      <c r="F370" s="7" t="s">
        <v>1109</v>
      </c>
    </row>
    <row r="371" customFormat="false" ht="15" hidden="false" customHeight="false" outlineLevel="0" collapsed="false">
      <c r="A371" s="7" t="s">
        <v>359</v>
      </c>
      <c r="B371" s="7" t="s">
        <v>360</v>
      </c>
      <c r="C371" s="7" t="s">
        <v>361</v>
      </c>
      <c r="D371" s="7" t="s">
        <v>1110</v>
      </c>
      <c r="E371" s="7" t="s">
        <v>180</v>
      </c>
      <c r="F371" s="7" t="s">
        <v>1111</v>
      </c>
    </row>
    <row r="372" customFormat="false" ht="15" hidden="false" customHeight="false" outlineLevel="0" collapsed="false">
      <c r="A372" s="7" t="s">
        <v>359</v>
      </c>
      <c r="B372" s="7" t="s">
        <v>360</v>
      </c>
      <c r="C372" s="7" t="s">
        <v>361</v>
      </c>
      <c r="D372" s="7" t="s">
        <v>1112</v>
      </c>
      <c r="E372" s="7" t="s">
        <v>148</v>
      </c>
      <c r="F372" s="7" t="s">
        <v>1113</v>
      </c>
    </row>
    <row r="373" customFormat="false" ht="15" hidden="false" customHeight="false" outlineLevel="0" collapsed="false">
      <c r="A373" s="7" t="s">
        <v>359</v>
      </c>
      <c r="B373" s="7" t="s">
        <v>360</v>
      </c>
      <c r="C373" s="7" t="s">
        <v>361</v>
      </c>
      <c r="D373" s="7" t="s">
        <v>1114</v>
      </c>
      <c r="E373" s="7" t="s">
        <v>229</v>
      </c>
      <c r="F373" s="7" t="s">
        <v>1115</v>
      </c>
    </row>
    <row r="374" customFormat="false" ht="15" hidden="false" customHeight="false" outlineLevel="0" collapsed="false">
      <c r="A374" s="7" t="s">
        <v>359</v>
      </c>
      <c r="B374" s="7" t="s">
        <v>360</v>
      </c>
      <c r="C374" s="7" t="s">
        <v>361</v>
      </c>
      <c r="D374" s="7" t="s">
        <v>1116</v>
      </c>
      <c r="E374" s="7" t="s">
        <v>63</v>
      </c>
      <c r="F374" s="7" t="s">
        <v>1117</v>
      </c>
    </row>
    <row r="375" customFormat="false" ht="15" hidden="false" customHeight="false" outlineLevel="0" collapsed="false">
      <c r="A375" s="7" t="s">
        <v>359</v>
      </c>
      <c r="B375" s="7" t="s">
        <v>360</v>
      </c>
      <c r="C375" s="7" t="s">
        <v>361</v>
      </c>
      <c r="D375" s="7" t="s">
        <v>1118</v>
      </c>
      <c r="E375" s="7" t="s">
        <v>38</v>
      </c>
      <c r="F375" s="7" t="s">
        <v>1119</v>
      </c>
    </row>
    <row r="376" customFormat="false" ht="15" hidden="false" customHeight="false" outlineLevel="0" collapsed="false">
      <c r="A376" s="7" t="s">
        <v>359</v>
      </c>
      <c r="B376" s="7" t="s">
        <v>360</v>
      </c>
      <c r="C376" s="7" t="s">
        <v>361</v>
      </c>
      <c r="D376" s="7" t="s">
        <v>1120</v>
      </c>
      <c r="E376" s="7" t="s">
        <v>116</v>
      </c>
      <c r="F376" s="7" t="s">
        <v>1121</v>
      </c>
    </row>
    <row r="377" customFormat="false" ht="15" hidden="false" customHeight="false" outlineLevel="0" collapsed="false">
      <c r="A377" s="7" t="s">
        <v>359</v>
      </c>
      <c r="B377" s="7" t="s">
        <v>360</v>
      </c>
      <c r="C377" s="7" t="s">
        <v>361</v>
      </c>
      <c r="D377" s="7" t="s">
        <v>1122</v>
      </c>
      <c r="E377" s="7" t="s">
        <v>59</v>
      </c>
      <c r="F377" s="7" t="s">
        <v>1123</v>
      </c>
    </row>
    <row r="378" customFormat="false" ht="15" hidden="false" customHeight="false" outlineLevel="0" collapsed="false">
      <c r="A378" s="7" t="s">
        <v>359</v>
      </c>
      <c r="B378" s="7" t="s">
        <v>360</v>
      </c>
      <c r="C378" s="7" t="s">
        <v>361</v>
      </c>
      <c r="D378" s="7" t="s">
        <v>1124</v>
      </c>
      <c r="E378" s="7" t="s">
        <v>279</v>
      </c>
      <c r="F378" s="7" t="s">
        <v>1125</v>
      </c>
    </row>
    <row r="379" customFormat="false" ht="15" hidden="false" customHeight="false" outlineLevel="0" collapsed="false">
      <c r="A379" s="7" t="s">
        <v>359</v>
      </c>
      <c r="B379" s="7" t="s">
        <v>360</v>
      </c>
      <c r="C379" s="7" t="s">
        <v>361</v>
      </c>
      <c r="D379" s="7" t="s">
        <v>1126</v>
      </c>
      <c r="E379" s="7" t="s">
        <v>338</v>
      </c>
      <c r="F379" s="7" t="s">
        <v>1127</v>
      </c>
    </row>
    <row r="380" customFormat="false" ht="15" hidden="false" customHeight="false" outlineLevel="0" collapsed="false">
      <c r="A380" s="7" t="s">
        <v>359</v>
      </c>
      <c r="B380" s="7" t="s">
        <v>360</v>
      </c>
      <c r="C380" s="7" t="s">
        <v>361</v>
      </c>
      <c r="D380" s="7" t="s">
        <v>1128</v>
      </c>
      <c r="E380" s="7" t="s">
        <v>330</v>
      </c>
      <c r="F380" s="7" t="s">
        <v>1129</v>
      </c>
    </row>
    <row r="381" customFormat="false" ht="15" hidden="false" customHeight="false" outlineLevel="0" collapsed="false">
      <c r="A381" s="7" t="s">
        <v>359</v>
      </c>
      <c r="B381" s="7" t="s">
        <v>360</v>
      </c>
      <c r="C381" s="7" t="s">
        <v>361</v>
      </c>
      <c r="D381" s="7" t="s">
        <v>1130</v>
      </c>
      <c r="E381" s="7" t="s">
        <v>192</v>
      </c>
      <c r="F381" s="7" t="s">
        <v>1131</v>
      </c>
    </row>
    <row r="382" customFormat="false" ht="15" hidden="false" customHeight="false" outlineLevel="0" collapsed="false">
      <c r="A382" s="7" t="s">
        <v>359</v>
      </c>
      <c r="B382" s="7" t="s">
        <v>360</v>
      </c>
      <c r="C382" s="7" t="s">
        <v>361</v>
      </c>
      <c r="D382" s="7" t="s">
        <v>1132</v>
      </c>
      <c r="E382" s="7" t="s">
        <v>256</v>
      </c>
      <c r="F382" s="7" t="s">
        <v>1133</v>
      </c>
    </row>
    <row r="383" customFormat="false" ht="15" hidden="false" customHeight="false" outlineLevel="0" collapsed="false">
      <c r="A383" s="7" t="s">
        <v>359</v>
      </c>
      <c r="B383" s="7" t="s">
        <v>360</v>
      </c>
      <c r="C383" s="7" t="s">
        <v>361</v>
      </c>
      <c r="D383" s="7" t="s">
        <v>1134</v>
      </c>
      <c r="E383" s="7" t="s">
        <v>235</v>
      </c>
      <c r="F383" s="7" t="s">
        <v>1135</v>
      </c>
    </row>
    <row r="384" customFormat="false" ht="15" hidden="false" customHeight="false" outlineLevel="0" collapsed="false">
      <c r="A384" s="7" t="s">
        <v>359</v>
      </c>
      <c r="B384" s="7" t="s">
        <v>360</v>
      </c>
      <c r="C384" s="7" t="s">
        <v>361</v>
      </c>
      <c r="D384" s="7" t="s">
        <v>1136</v>
      </c>
      <c r="E384" s="7" t="s">
        <v>186</v>
      </c>
      <c r="F384" s="7" t="s">
        <v>1137</v>
      </c>
    </row>
    <row r="385" customFormat="false" ht="15" hidden="false" customHeight="false" outlineLevel="0" collapsed="false">
      <c r="A385" s="7" t="s">
        <v>359</v>
      </c>
      <c r="B385" s="7" t="s">
        <v>360</v>
      </c>
      <c r="C385" s="7" t="s">
        <v>361</v>
      </c>
      <c r="D385" s="7" t="s">
        <v>1138</v>
      </c>
      <c r="E385" s="7" t="s">
        <v>248</v>
      </c>
      <c r="F385" s="7" t="s">
        <v>1139</v>
      </c>
    </row>
    <row r="386" customFormat="false" ht="15" hidden="false" customHeight="false" outlineLevel="0" collapsed="false">
      <c r="A386" s="7" t="s">
        <v>359</v>
      </c>
      <c r="B386" s="7" t="s">
        <v>360</v>
      </c>
      <c r="C386" s="7" t="s">
        <v>361</v>
      </c>
      <c r="D386" s="7" t="s">
        <v>1140</v>
      </c>
      <c r="E386" s="7" t="s">
        <v>303</v>
      </c>
      <c r="F386" s="7" t="s">
        <v>1141</v>
      </c>
    </row>
    <row r="387" customFormat="false" ht="15" hidden="false" customHeight="false" outlineLevel="0" collapsed="false">
      <c r="A387" s="7" t="s">
        <v>359</v>
      </c>
      <c r="B387" s="7" t="s">
        <v>360</v>
      </c>
      <c r="C387" s="7" t="s">
        <v>361</v>
      </c>
      <c r="D387" s="7" t="s">
        <v>1142</v>
      </c>
      <c r="E387" s="7" t="s">
        <v>100</v>
      </c>
      <c r="F387" s="7" t="s">
        <v>1143</v>
      </c>
    </row>
    <row r="388" customFormat="false" ht="15" hidden="false" customHeight="false" outlineLevel="0" collapsed="false">
      <c r="A388" s="7" t="s">
        <v>359</v>
      </c>
      <c r="B388" s="7" t="s">
        <v>360</v>
      </c>
      <c r="C388" s="7" t="s">
        <v>361</v>
      </c>
      <c r="D388" s="7" t="s">
        <v>1144</v>
      </c>
      <c r="E388" s="7" t="s">
        <v>122</v>
      </c>
      <c r="F388" s="7" t="s">
        <v>1145</v>
      </c>
    </row>
    <row r="389" customFormat="false" ht="15" hidden="false" customHeight="false" outlineLevel="0" collapsed="false">
      <c r="A389" s="7" t="s">
        <v>359</v>
      </c>
      <c r="B389" s="7" t="s">
        <v>360</v>
      </c>
      <c r="C389" s="7" t="s">
        <v>361</v>
      </c>
      <c r="D389" s="7" t="s">
        <v>1146</v>
      </c>
      <c r="E389" s="7" t="s">
        <v>96</v>
      </c>
      <c r="F389" s="7" t="s">
        <v>1147</v>
      </c>
    </row>
    <row r="390" customFormat="false" ht="15" hidden="false" customHeight="false" outlineLevel="0" collapsed="false">
      <c r="A390" s="7" t="s">
        <v>359</v>
      </c>
      <c r="B390" s="7" t="s">
        <v>360</v>
      </c>
      <c r="C390" s="7" t="s">
        <v>361</v>
      </c>
      <c r="D390" s="7" t="s">
        <v>1148</v>
      </c>
      <c r="E390" s="7" t="s">
        <v>312</v>
      </c>
      <c r="F390" s="7" t="s">
        <v>1149</v>
      </c>
    </row>
    <row r="391" customFormat="false" ht="15" hidden="false" customHeight="false" outlineLevel="0" collapsed="false">
      <c r="A391" s="7" t="s">
        <v>359</v>
      </c>
      <c r="B391" s="7" t="s">
        <v>360</v>
      </c>
      <c r="C391" s="7" t="s">
        <v>361</v>
      </c>
      <c r="D391" s="7" t="s">
        <v>1150</v>
      </c>
      <c r="E391" s="7" t="s">
        <v>102</v>
      </c>
      <c r="F391" s="7" t="s">
        <v>1151</v>
      </c>
    </row>
    <row r="392" customFormat="false" ht="15" hidden="false" customHeight="false" outlineLevel="0" collapsed="false">
      <c r="A392" s="7" t="s">
        <v>359</v>
      </c>
      <c r="B392" s="7" t="s">
        <v>360</v>
      </c>
      <c r="C392" s="7" t="s">
        <v>361</v>
      </c>
      <c r="D392" s="7" t="s">
        <v>1152</v>
      </c>
      <c r="E392" s="7" t="s">
        <v>207</v>
      </c>
      <c r="F392" s="7" t="s">
        <v>1153</v>
      </c>
    </row>
    <row r="393" customFormat="false" ht="15" hidden="false" customHeight="false" outlineLevel="0" collapsed="false">
      <c r="A393" s="7" t="s">
        <v>359</v>
      </c>
      <c r="B393" s="7" t="s">
        <v>360</v>
      </c>
      <c r="C393" s="7" t="s">
        <v>361</v>
      </c>
      <c r="D393" s="7" t="s">
        <v>1154</v>
      </c>
      <c r="E393" s="7" t="s">
        <v>210</v>
      </c>
      <c r="F393" s="7" t="s">
        <v>1155</v>
      </c>
    </row>
    <row r="394" customFormat="false" ht="15" hidden="false" customHeight="false" outlineLevel="0" collapsed="false">
      <c r="A394" s="7" t="s">
        <v>359</v>
      </c>
      <c r="B394" s="7" t="s">
        <v>360</v>
      </c>
      <c r="C394" s="7" t="s">
        <v>361</v>
      </c>
      <c r="D394" s="7" t="s">
        <v>1156</v>
      </c>
      <c r="E394" s="7" t="s">
        <v>98</v>
      </c>
      <c r="F394" s="7" t="s">
        <v>1157</v>
      </c>
    </row>
    <row r="395" customFormat="false" ht="15" hidden="false" customHeight="false" outlineLevel="0" collapsed="false">
      <c r="A395" s="7" t="s">
        <v>359</v>
      </c>
      <c r="B395" s="7" t="s">
        <v>360</v>
      </c>
      <c r="C395" s="7" t="s">
        <v>361</v>
      </c>
      <c r="D395" s="7" t="s">
        <v>1158</v>
      </c>
      <c r="E395" s="7" t="s">
        <v>167</v>
      </c>
      <c r="F395" s="7" t="s">
        <v>1159</v>
      </c>
    </row>
    <row r="396" customFormat="false" ht="15" hidden="false" customHeight="false" outlineLevel="0" collapsed="false">
      <c r="A396" s="7" t="s">
        <v>359</v>
      </c>
      <c r="B396" s="7" t="s">
        <v>360</v>
      </c>
      <c r="C396" s="7" t="s">
        <v>361</v>
      </c>
      <c r="D396" s="7" t="s">
        <v>1160</v>
      </c>
      <c r="E396" s="7" t="s">
        <v>271</v>
      </c>
      <c r="F396" s="7" t="s">
        <v>1161</v>
      </c>
    </row>
    <row r="397" customFormat="false" ht="15" hidden="false" customHeight="false" outlineLevel="0" collapsed="false">
      <c r="A397" s="7" t="s">
        <v>359</v>
      </c>
      <c r="B397" s="7" t="s">
        <v>360</v>
      </c>
      <c r="C397" s="7" t="s">
        <v>361</v>
      </c>
      <c r="D397" s="7" t="s">
        <v>1162</v>
      </c>
      <c r="E397" s="7" t="s">
        <v>165</v>
      </c>
      <c r="F397" s="7" t="s">
        <v>1163</v>
      </c>
    </row>
    <row r="398" customFormat="false" ht="15" hidden="false" customHeight="false" outlineLevel="0" collapsed="false">
      <c r="A398" s="7" t="s">
        <v>359</v>
      </c>
      <c r="B398" s="7" t="s">
        <v>360</v>
      </c>
      <c r="C398" s="7" t="s">
        <v>361</v>
      </c>
      <c r="D398" s="7" t="s">
        <v>1164</v>
      </c>
      <c r="E398" s="7" t="s">
        <v>47</v>
      </c>
      <c r="F398" s="7" t="s">
        <v>1165</v>
      </c>
    </row>
    <row r="399" customFormat="false" ht="15" hidden="false" customHeight="false" outlineLevel="0" collapsed="false">
      <c r="A399" s="7" t="s">
        <v>359</v>
      </c>
      <c r="B399" s="7" t="s">
        <v>360</v>
      </c>
      <c r="C399" s="7" t="s">
        <v>361</v>
      </c>
      <c r="D399" s="7" t="s">
        <v>1166</v>
      </c>
      <c r="E399" s="7" t="s">
        <v>100</v>
      </c>
      <c r="F399" s="7" t="s">
        <v>1167</v>
      </c>
    </row>
    <row r="400" customFormat="false" ht="15" hidden="false" customHeight="false" outlineLevel="0" collapsed="false">
      <c r="A400" s="7" t="s">
        <v>359</v>
      </c>
      <c r="B400" s="7" t="s">
        <v>360</v>
      </c>
      <c r="C400" s="7" t="s">
        <v>361</v>
      </c>
      <c r="D400" s="7" t="s">
        <v>1168</v>
      </c>
      <c r="E400" s="7" t="s">
        <v>173</v>
      </c>
      <c r="F400" s="7" t="s">
        <v>1169</v>
      </c>
    </row>
    <row r="401" customFormat="false" ht="15" hidden="false" customHeight="false" outlineLevel="0" collapsed="false">
      <c r="A401" s="7" t="s">
        <v>359</v>
      </c>
      <c r="B401" s="7" t="s">
        <v>360</v>
      </c>
      <c r="C401" s="7" t="s">
        <v>361</v>
      </c>
      <c r="D401" s="7" t="s">
        <v>1170</v>
      </c>
      <c r="E401" s="7" t="s">
        <v>228</v>
      </c>
      <c r="F401" s="7" t="s">
        <v>1171</v>
      </c>
    </row>
    <row r="402" customFormat="false" ht="15" hidden="false" customHeight="false" outlineLevel="0" collapsed="false">
      <c r="A402" s="7" t="s">
        <v>359</v>
      </c>
      <c r="B402" s="7" t="s">
        <v>360</v>
      </c>
      <c r="C402" s="7" t="s">
        <v>361</v>
      </c>
      <c r="D402" s="7" t="s">
        <v>1172</v>
      </c>
      <c r="E402" s="7" t="s">
        <v>260</v>
      </c>
      <c r="F402" s="7" t="s">
        <v>1173</v>
      </c>
    </row>
    <row r="403" customFormat="false" ht="15" hidden="false" customHeight="false" outlineLevel="0" collapsed="false">
      <c r="A403" s="7" t="s">
        <v>359</v>
      </c>
      <c r="B403" s="7" t="s">
        <v>360</v>
      </c>
      <c r="C403" s="7" t="s">
        <v>361</v>
      </c>
      <c r="D403" s="7" t="s">
        <v>1174</v>
      </c>
      <c r="E403" s="7" t="s">
        <v>228</v>
      </c>
      <c r="F403" s="7" t="s">
        <v>1175</v>
      </c>
    </row>
    <row r="404" customFormat="false" ht="15" hidden="false" customHeight="false" outlineLevel="0" collapsed="false">
      <c r="A404" s="7" t="s">
        <v>359</v>
      </c>
      <c r="B404" s="7" t="s">
        <v>360</v>
      </c>
      <c r="C404" s="7" t="s">
        <v>361</v>
      </c>
      <c r="D404" s="7" t="s">
        <v>1176</v>
      </c>
      <c r="E404" s="7" t="s">
        <v>218</v>
      </c>
      <c r="F404" s="7" t="s">
        <v>1177</v>
      </c>
    </row>
    <row r="405" customFormat="false" ht="15" hidden="false" customHeight="false" outlineLevel="0" collapsed="false">
      <c r="A405" s="7" t="s">
        <v>359</v>
      </c>
      <c r="B405" s="7" t="s">
        <v>360</v>
      </c>
      <c r="C405" s="7" t="s">
        <v>361</v>
      </c>
      <c r="D405" s="7" t="s">
        <v>1178</v>
      </c>
      <c r="E405" s="7" t="s">
        <v>157</v>
      </c>
      <c r="F405" s="7" t="s">
        <v>1179</v>
      </c>
    </row>
    <row r="406" customFormat="false" ht="15" hidden="false" customHeight="false" outlineLevel="0" collapsed="false">
      <c r="A406" s="7" t="s">
        <v>359</v>
      </c>
      <c r="B406" s="7" t="s">
        <v>360</v>
      </c>
      <c r="C406" s="7" t="s">
        <v>361</v>
      </c>
      <c r="D406" s="7" t="s">
        <v>1180</v>
      </c>
      <c r="E406" s="7" t="s">
        <v>199</v>
      </c>
      <c r="F406" s="7" t="s">
        <v>1181</v>
      </c>
    </row>
    <row r="407" customFormat="false" ht="15" hidden="false" customHeight="false" outlineLevel="0" collapsed="false">
      <c r="A407" s="7" t="s">
        <v>359</v>
      </c>
      <c r="B407" s="7" t="s">
        <v>360</v>
      </c>
      <c r="C407" s="7" t="s">
        <v>361</v>
      </c>
      <c r="D407" s="7" t="s">
        <v>1182</v>
      </c>
      <c r="E407" s="7" t="s">
        <v>218</v>
      </c>
      <c r="F407" s="7" t="s">
        <v>1183</v>
      </c>
    </row>
    <row r="408" customFormat="false" ht="15" hidden="false" customHeight="false" outlineLevel="0" collapsed="false">
      <c r="A408" s="7" t="s">
        <v>359</v>
      </c>
      <c r="B408" s="7" t="s">
        <v>360</v>
      </c>
      <c r="C408" s="7" t="s">
        <v>361</v>
      </c>
      <c r="D408" s="7" t="s">
        <v>1184</v>
      </c>
      <c r="E408" s="7" t="s">
        <v>175</v>
      </c>
      <c r="F408" s="7" t="s">
        <v>1185</v>
      </c>
    </row>
    <row r="409" customFormat="false" ht="15" hidden="false" customHeight="false" outlineLevel="0" collapsed="false">
      <c r="A409" s="7" t="s">
        <v>359</v>
      </c>
      <c r="B409" s="7" t="s">
        <v>360</v>
      </c>
      <c r="C409" s="7" t="s">
        <v>361</v>
      </c>
      <c r="D409" s="7" t="s">
        <v>1186</v>
      </c>
      <c r="E409" s="7" t="s">
        <v>161</v>
      </c>
      <c r="F409" s="7" t="s">
        <v>1187</v>
      </c>
    </row>
    <row r="410" customFormat="false" ht="15" hidden="false" customHeight="false" outlineLevel="0" collapsed="false">
      <c r="A410" s="7" t="s">
        <v>359</v>
      </c>
      <c r="B410" s="7" t="s">
        <v>360</v>
      </c>
      <c r="C410" s="7" t="s">
        <v>361</v>
      </c>
      <c r="D410" s="7" t="s">
        <v>1188</v>
      </c>
      <c r="E410" s="7" t="s">
        <v>31</v>
      </c>
      <c r="F410" s="7" t="s">
        <v>1189</v>
      </c>
    </row>
    <row r="411" customFormat="false" ht="15" hidden="false" customHeight="false" outlineLevel="0" collapsed="false">
      <c r="A411" s="7" t="s">
        <v>359</v>
      </c>
      <c r="B411" s="7" t="s">
        <v>360</v>
      </c>
      <c r="C411" s="7" t="s">
        <v>361</v>
      </c>
      <c r="D411" s="7" t="s">
        <v>1190</v>
      </c>
      <c r="E411" s="7" t="s">
        <v>252</v>
      </c>
      <c r="F411" s="7" t="s">
        <v>1191</v>
      </c>
    </row>
    <row r="412" customFormat="false" ht="15" hidden="false" customHeight="false" outlineLevel="0" collapsed="false">
      <c r="A412" s="7" t="s">
        <v>359</v>
      </c>
      <c r="B412" s="7" t="s">
        <v>360</v>
      </c>
      <c r="C412" s="7" t="s">
        <v>361</v>
      </c>
      <c r="D412" s="7" t="s">
        <v>1192</v>
      </c>
      <c r="E412" s="7" t="s">
        <v>228</v>
      </c>
      <c r="F412" s="7" t="s">
        <v>1193</v>
      </c>
    </row>
    <row r="413" customFormat="false" ht="15" hidden="false" customHeight="false" outlineLevel="0" collapsed="false">
      <c r="A413" s="7" t="s">
        <v>359</v>
      </c>
      <c r="B413" s="7" t="s">
        <v>360</v>
      </c>
      <c r="C413" s="7" t="s">
        <v>361</v>
      </c>
      <c r="D413" s="7" t="s">
        <v>1194</v>
      </c>
      <c r="E413" s="7" t="s">
        <v>101</v>
      </c>
      <c r="F413" s="7" t="s">
        <v>1195</v>
      </c>
    </row>
    <row r="414" customFormat="false" ht="15" hidden="false" customHeight="false" outlineLevel="0" collapsed="false">
      <c r="A414" s="7" t="s">
        <v>359</v>
      </c>
      <c r="B414" s="7" t="s">
        <v>360</v>
      </c>
      <c r="C414" s="7" t="s">
        <v>361</v>
      </c>
      <c r="D414" s="7" t="s">
        <v>1196</v>
      </c>
      <c r="E414" s="7" t="s">
        <v>314</v>
      </c>
      <c r="F414" s="7" t="s">
        <v>1197</v>
      </c>
    </row>
    <row r="415" customFormat="false" ht="15" hidden="false" customHeight="false" outlineLevel="0" collapsed="false">
      <c r="A415" s="7" t="s">
        <v>359</v>
      </c>
      <c r="B415" s="7" t="s">
        <v>360</v>
      </c>
      <c r="C415" s="7" t="s">
        <v>361</v>
      </c>
      <c r="D415" s="7" t="s">
        <v>1198</v>
      </c>
      <c r="E415" s="7" t="s">
        <v>318</v>
      </c>
      <c r="F415" s="7" t="s">
        <v>1199</v>
      </c>
    </row>
    <row r="416" customFormat="false" ht="15" hidden="false" customHeight="false" outlineLevel="0" collapsed="false">
      <c r="A416" s="7" t="s">
        <v>359</v>
      </c>
      <c r="B416" s="7" t="s">
        <v>360</v>
      </c>
      <c r="C416" s="7" t="s">
        <v>361</v>
      </c>
      <c r="D416" s="7" t="s">
        <v>1200</v>
      </c>
      <c r="E416" s="7" t="s">
        <v>118</v>
      </c>
      <c r="F416" s="7" t="s">
        <v>1201</v>
      </c>
    </row>
    <row r="417" customFormat="false" ht="15" hidden="false" customHeight="false" outlineLevel="0" collapsed="false">
      <c r="A417" s="7" t="s">
        <v>359</v>
      </c>
      <c r="B417" s="7" t="s">
        <v>360</v>
      </c>
      <c r="C417" s="7" t="s">
        <v>361</v>
      </c>
      <c r="D417" s="7" t="s">
        <v>1202</v>
      </c>
      <c r="E417" s="7" t="s">
        <v>275</v>
      </c>
      <c r="F417" s="7" t="s">
        <v>1203</v>
      </c>
    </row>
    <row r="418" customFormat="false" ht="15" hidden="false" customHeight="false" outlineLevel="0" collapsed="false">
      <c r="A418" s="7" t="s">
        <v>359</v>
      </c>
      <c r="B418" s="7" t="s">
        <v>360</v>
      </c>
      <c r="C418" s="7" t="s">
        <v>361</v>
      </c>
      <c r="D418" s="7" t="s">
        <v>1204</v>
      </c>
      <c r="E418" s="7" t="s">
        <v>305</v>
      </c>
      <c r="F418" s="7" t="s">
        <v>1205</v>
      </c>
    </row>
    <row r="419" customFormat="false" ht="15" hidden="false" customHeight="false" outlineLevel="0" collapsed="false">
      <c r="A419" s="7" t="s">
        <v>359</v>
      </c>
      <c r="B419" s="7" t="s">
        <v>360</v>
      </c>
      <c r="C419" s="7" t="s">
        <v>361</v>
      </c>
      <c r="D419" s="7" t="s">
        <v>1206</v>
      </c>
      <c r="E419" s="7" t="s">
        <v>334</v>
      </c>
      <c r="F419" s="7" t="s">
        <v>1207</v>
      </c>
    </row>
    <row r="420" customFormat="false" ht="15" hidden="false" customHeight="false" outlineLevel="0" collapsed="false">
      <c r="A420" s="7" t="s">
        <v>359</v>
      </c>
      <c r="B420" s="7" t="s">
        <v>360</v>
      </c>
      <c r="C420" s="7" t="s">
        <v>361</v>
      </c>
      <c r="D420" s="7" t="s">
        <v>1208</v>
      </c>
      <c r="E420" s="7" t="s">
        <v>224</v>
      </c>
      <c r="F420" s="7" t="s">
        <v>1209</v>
      </c>
    </row>
    <row r="421" customFormat="false" ht="15" hidden="false" customHeight="false" outlineLevel="0" collapsed="false">
      <c r="A421" s="7" t="s">
        <v>359</v>
      </c>
      <c r="B421" s="7" t="s">
        <v>360</v>
      </c>
      <c r="C421" s="7" t="s">
        <v>361</v>
      </c>
      <c r="D421" s="7" t="s">
        <v>1210</v>
      </c>
      <c r="E421" s="7" t="s">
        <v>113</v>
      </c>
      <c r="F421" s="7" t="s">
        <v>1211</v>
      </c>
    </row>
    <row r="422" customFormat="false" ht="15" hidden="false" customHeight="false" outlineLevel="0" collapsed="false">
      <c r="A422" s="7" t="s">
        <v>359</v>
      </c>
      <c r="B422" s="7" t="s">
        <v>360</v>
      </c>
      <c r="C422" s="7" t="s">
        <v>361</v>
      </c>
      <c r="D422" s="7" t="s">
        <v>1212</v>
      </c>
      <c r="E422" s="7" t="s">
        <v>279</v>
      </c>
      <c r="F422" s="7" t="s">
        <v>1213</v>
      </c>
    </row>
    <row r="423" customFormat="false" ht="15" hidden="false" customHeight="false" outlineLevel="0" collapsed="false">
      <c r="A423" s="7" t="s">
        <v>359</v>
      </c>
      <c r="B423" s="7" t="s">
        <v>360</v>
      </c>
      <c r="C423" s="7" t="s">
        <v>361</v>
      </c>
      <c r="D423" s="7" t="s">
        <v>1214</v>
      </c>
      <c r="E423" s="7" t="s">
        <v>180</v>
      </c>
      <c r="F423" s="7" t="s">
        <v>1215</v>
      </c>
    </row>
    <row r="424" customFormat="false" ht="15" hidden="false" customHeight="false" outlineLevel="0" collapsed="false">
      <c r="A424" s="7" t="s">
        <v>359</v>
      </c>
      <c r="B424" s="7" t="s">
        <v>360</v>
      </c>
      <c r="C424" s="7" t="s">
        <v>361</v>
      </c>
      <c r="D424" s="7" t="s">
        <v>1216</v>
      </c>
      <c r="E424" s="7" t="s">
        <v>133</v>
      </c>
      <c r="F424" s="7" t="s">
        <v>1217</v>
      </c>
    </row>
    <row r="425" customFormat="false" ht="15" hidden="false" customHeight="false" outlineLevel="0" collapsed="false">
      <c r="A425" s="7" t="s">
        <v>359</v>
      </c>
      <c r="B425" s="7" t="s">
        <v>360</v>
      </c>
      <c r="C425" s="7" t="s">
        <v>361</v>
      </c>
      <c r="D425" s="7" t="s">
        <v>1218</v>
      </c>
      <c r="E425" s="7" t="s">
        <v>161</v>
      </c>
      <c r="F425" s="7" t="s">
        <v>1219</v>
      </c>
    </row>
    <row r="426" customFormat="false" ht="15" hidden="false" customHeight="false" outlineLevel="0" collapsed="false">
      <c r="A426" s="7" t="s">
        <v>359</v>
      </c>
      <c r="B426" s="7" t="s">
        <v>360</v>
      </c>
      <c r="C426" s="7" t="s">
        <v>361</v>
      </c>
      <c r="D426" s="7" t="s">
        <v>1220</v>
      </c>
      <c r="E426" s="7" t="s">
        <v>342</v>
      </c>
      <c r="F426" s="7" t="s">
        <v>1221</v>
      </c>
    </row>
    <row r="427" customFormat="false" ht="15" hidden="false" customHeight="false" outlineLevel="0" collapsed="false">
      <c r="A427" s="7" t="s">
        <v>359</v>
      </c>
      <c r="B427" s="7" t="s">
        <v>360</v>
      </c>
      <c r="C427" s="7" t="s">
        <v>361</v>
      </c>
      <c r="D427" s="7" t="s">
        <v>1222</v>
      </c>
      <c r="E427" s="7" t="s">
        <v>323</v>
      </c>
      <c r="F427" s="7" t="s">
        <v>1223</v>
      </c>
    </row>
    <row r="428" customFormat="false" ht="15" hidden="false" customHeight="false" outlineLevel="0" collapsed="false">
      <c r="A428" s="7" t="s">
        <v>359</v>
      </c>
      <c r="B428" s="7" t="s">
        <v>360</v>
      </c>
      <c r="C428" s="7" t="s">
        <v>361</v>
      </c>
      <c r="D428" s="7" t="s">
        <v>1224</v>
      </c>
      <c r="E428" s="7" t="s">
        <v>45</v>
      </c>
      <c r="F428" s="7" t="s">
        <v>1225</v>
      </c>
    </row>
    <row r="429" customFormat="false" ht="15" hidden="false" customHeight="false" outlineLevel="0" collapsed="false">
      <c r="A429" s="7" t="s">
        <v>359</v>
      </c>
      <c r="B429" s="7" t="s">
        <v>360</v>
      </c>
      <c r="C429" s="7" t="s">
        <v>361</v>
      </c>
      <c r="D429" s="7" t="s">
        <v>1226</v>
      </c>
      <c r="E429" s="7" t="s">
        <v>242</v>
      </c>
      <c r="F429" s="7" t="s">
        <v>1227</v>
      </c>
    </row>
    <row r="430" customFormat="false" ht="15" hidden="false" customHeight="false" outlineLevel="0" collapsed="false">
      <c r="A430" s="7" t="s">
        <v>359</v>
      </c>
      <c r="B430" s="7" t="s">
        <v>360</v>
      </c>
      <c r="C430" s="7" t="s">
        <v>361</v>
      </c>
      <c r="D430" s="7" t="s">
        <v>1228</v>
      </c>
      <c r="E430" s="7" t="s">
        <v>131</v>
      </c>
      <c r="F430" s="7" t="s">
        <v>1229</v>
      </c>
    </row>
    <row r="431" customFormat="false" ht="15" hidden="false" customHeight="false" outlineLevel="0" collapsed="false">
      <c r="A431" s="7" t="s">
        <v>359</v>
      </c>
      <c r="B431" s="7" t="s">
        <v>360</v>
      </c>
      <c r="C431" s="7" t="s">
        <v>361</v>
      </c>
      <c r="D431" s="7" t="s">
        <v>1230</v>
      </c>
      <c r="E431" s="7" t="s">
        <v>314</v>
      </c>
      <c r="F431" s="7" t="s">
        <v>1231</v>
      </c>
    </row>
    <row r="432" customFormat="false" ht="15" hidden="false" customHeight="false" outlineLevel="0" collapsed="false">
      <c r="A432" s="7" t="s">
        <v>359</v>
      </c>
      <c r="B432" s="7" t="s">
        <v>360</v>
      </c>
      <c r="C432" s="7" t="s">
        <v>361</v>
      </c>
      <c r="D432" s="7" t="s">
        <v>1232</v>
      </c>
      <c r="E432" s="7" t="s">
        <v>256</v>
      </c>
      <c r="F432" s="7" t="s">
        <v>1233</v>
      </c>
    </row>
    <row r="433" customFormat="false" ht="15" hidden="false" customHeight="false" outlineLevel="0" collapsed="false">
      <c r="A433" s="7" t="s">
        <v>359</v>
      </c>
      <c r="B433" s="7" t="s">
        <v>360</v>
      </c>
      <c r="C433" s="7" t="s">
        <v>361</v>
      </c>
      <c r="D433" s="7" t="s">
        <v>1234</v>
      </c>
      <c r="E433" s="7" t="s">
        <v>45</v>
      </c>
      <c r="F433" s="7" t="s">
        <v>1235</v>
      </c>
    </row>
    <row r="434" customFormat="false" ht="15" hidden="false" customHeight="false" outlineLevel="0" collapsed="false">
      <c r="A434" s="7" t="s">
        <v>359</v>
      </c>
      <c r="B434" s="7" t="s">
        <v>360</v>
      </c>
      <c r="C434" s="7" t="s">
        <v>361</v>
      </c>
      <c r="D434" s="7" t="s">
        <v>1236</v>
      </c>
      <c r="E434" s="7" t="s">
        <v>102</v>
      </c>
      <c r="F434" s="7" t="s">
        <v>1237</v>
      </c>
    </row>
    <row r="435" customFormat="false" ht="15" hidden="false" customHeight="false" outlineLevel="0" collapsed="false">
      <c r="A435" s="7" t="s">
        <v>359</v>
      </c>
      <c r="B435" s="7" t="s">
        <v>360</v>
      </c>
      <c r="C435" s="7" t="s">
        <v>361</v>
      </c>
      <c r="D435" s="7" t="s">
        <v>1238</v>
      </c>
      <c r="E435" s="7" t="s">
        <v>266</v>
      </c>
      <c r="F435" s="7" t="s">
        <v>1239</v>
      </c>
    </row>
    <row r="436" customFormat="false" ht="15" hidden="false" customHeight="false" outlineLevel="0" collapsed="false">
      <c r="A436" s="7" t="s">
        <v>359</v>
      </c>
      <c r="B436" s="7" t="s">
        <v>360</v>
      </c>
      <c r="C436" s="7" t="s">
        <v>361</v>
      </c>
      <c r="D436" s="7" t="s">
        <v>1240</v>
      </c>
      <c r="E436" s="7" t="s">
        <v>291</v>
      </c>
      <c r="F436" s="7" t="s">
        <v>1241</v>
      </c>
    </row>
    <row r="437" customFormat="false" ht="15" hidden="false" customHeight="false" outlineLevel="0" collapsed="false">
      <c r="A437" s="7" t="s">
        <v>359</v>
      </c>
      <c r="B437" s="7" t="s">
        <v>360</v>
      </c>
      <c r="C437" s="7" t="s">
        <v>361</v>
      </c>
      <c r="D437" s="7" t="s">
        <v>1242</v>
      </c>
      <c r="E437" s="7" t="s">
        <v>301</v>
      </c>
      <c r="F437" s="7" t="s">
        <v>1243</v>
      </c>
    </row>
    <row r="438" customFormat="false" ht="15" hidden="false" customHeight="false" outlineLevel="0" collapsed="false">
      <c r="A438" s="7" t="s">
        <v>359</v>
      </c>
      <c r="B438" s="7" t="s">
        <v>360</v>
      </c>
      <c r="C438" s="7" t="s">
        <v>361</v>
      </c>
      <c r="D438" s="7" t="s">
        <v>1244</v>
      </c>
      <c r="E438" s="7" t="s">
        <v>151</v>
      </c>
      <c r="F438" s="7" t="s">
        <v>1245</v>
      </c>
    </row>
    <row r="439" customFormat="false" ht="15" hidden="false" customHeight="false" outlineLevel="0" collapsed="false">
      <c r="A439" s="7" t="s">
        <v>359</v>
      </c>
      <c r="B439" s="7" t="s">
        <v>360</v>
      </c>
      <c r="C439" s="7" t="s">
        <v>361</v>
      </c>
      <c r="D439" s="7" t="s">
        <v>1246</v>
      </c>
      <c r="E439" s="7" t="s">
        <v>148</v>
      </c>
      <c r="F439" s="7" t="s">
        <v>1247</v>
      </c>
    </row>
    <row r="440" customFormat="false" ht="15" hidden="false" customHeight="false" outlineLevel="0" collapsed="false">
      <c r="A440" s="7" t="s">
        <v>359</v>
      </c>
      <c r="B440" s="7" t="s">
        <v>360</v>
      </c>
      <c r="C440" s="7" t="s">
        <v>361</v>
      </c>
      <c r="D440" s="7" t="s">
        <v>1248</v>
      </c>
      <c r="E440" s="7" t="s">
        <v>98</v>
      </c>
      <c r="F440" s="7" t="s">
        <v>1249</v>
      </c>
    </row>
    <row r="441" customFormat="false" ht="15" hidden="false" customHeight="false" outlineLevel="0" collapsed="false">
      <c r="A441" s="7" t="s">
        <v>359</v>
      </c>
      <c r="B441" s="7" t="s">
        <v>360</v>
      </c>
      <c r="C441" s="7" t="s">
        <v>361</v>
      </c>
      <c r="D441" s="7" t="s">
        <v>1250</v>
      </c>
      <c r="E441" s="7" t="s">
        <v>180</v>
      </c>
      <c r="F441" s="7" t="s">
        <v>1251</v>
      </c>
    </row>
    <row r="442" customFormat="false" ht="15" hidden="false" customHeight="false" outlineLevel="0" collapsed="false">
      <c r="A442" s="7" t="s">
        <v>359</v>
      </c>
      <c r="B442" s="7" t="s">
        <v>360</v>
      </c>
      <c r="C442" s="7" t="s">
        <v>361</v>
      </c>
      <c r="D442" s="7" t="s">
        <v>1252</v>
      </c>
      <c r="E442" s="7" t="s">
        <v>309</v>
      </c>
      <c r="F442" s="7" t="s">
        <v>1253</v>
      </c>
    </row>
    <row r="443" customFormat="false" ht="15" hidden="false" customHeight="false" outlineLevel="0" collapsed="false">
      <c r="A443" s="7" t="s">
        <v>359</v>
      </c>
      <c r="B443" s="7" t="s">
        <v>360</v>
      </c>
      <c r="C443" s="7" t="s">
        <v>361</v>
      </c>
      <c r="D443" s="7" t="s">
        <v>1254</v>
      </c>
      <c r="E443" s="7" t="s">
        <v>61</v>
      </c>
      <c r="F443" s="7" t="s">
        <v>1255</v>
      </c>
    </row>
    <row r="444" customFormat="false" ht="15" hidden="false" customHeight="false" outlineLevel="0" collapsed="false">
      <c r="A444" s="7" t="s">
        <v>359</v>
      </c>
      <c r="B444" s="7" t="s">
        <v>360</v>
      </c>
      <c r="C444" s="7" t="s">
        <v>361</v>
      </c>
      <c r="D444" s="7" t="s">
        <v>1256</v>
      </c>
      <c r="E444" s="7" t="s">
        <v>298</v>
      </c>
      <c r="F444" s="7" t="s">
        <v>1257</v>
      </c>
    </row>
    <row r="445" customFormat="false" ht="15" hidden="false" customHeight="false" outlineLevel="0" collapsed="false">
      <c r="A445" s="7" t="s">
        <v>359</v>
      </c>
      <c r="B445" s="7" t="s">
        <v>360</v>
      </c>
      <c r="C445" s="7" t="s">
        <v>361</v>
      </c>
      <c r="D445" s="7" t="s">
        <v>1258</v>
      </c>
      <c r="E445" s="7" t="s">
        <v>275</v>
      </c>
      <c r="F445" s="7" t="s">
        <v>1259</v>
      </c>
    </row>
    <row r="446" customFormat="false" ht="15" hidden="false" customHeight="false" outlineLevel="0" collapsed="false">
      <c r="A446" s="7" t="s">
        <v>359</v>
      </c>
      <c r="B446" s="7" t="s">
        <v>360</v>
      </c>
      <c r="C446" s="7" t="s">
        <v>361</v>
      </c>
      <c r="D446" s="7" t="s">
        <v>1260</v>
      </c>
      <c r="E446" s="7" t="s">
        <v>122</v>
      </c>
      <c r="F446" s="7" t="s">
        <v>1261</v>
      </c>
    </row>
    <row r="447" customFormat="false" ht="15" hidden="false" customHeight="false" outlineLevel="0" collapsed="false">
      <c r="A447" s="7" t="s">
        <v>359</v>
      </c>
      <c r="B447" s="7" t="s">
        <v>360</v>
      </c>
      <c r="C447" s="7" t="s">
        <v>361</v>
      </c>
      <c r="D447" s="7" t="s">
        <v>1262</v>
      </c>
      <c r="E447" s="7" t="s">
        <v>144</v>
      </c>
      <c r="F447" s="7" t="s">
        <v>1263</v>
      </c>
    </row>
    <row r="448" customFormat="false" ht="15" hidden="false" customHeight="false" outlineLevel="0" collapsed="false">
      <c r="A448" s="7" t="s">
        <v>359</v>
      </c>
      <c r="B448" s="7" t="s">
        <v>360</v>
      </c>
      <c r="C448" s="7" t="s">
        <v>361</v>
      </c>
      <c r="D448" s="7" t="s">
        <v>1264</v>
      </c>
      <c r="E448" s="7" t="s">
        <v>199</v>
      </c>
      <c r="F448" s="7" t="s">
        <v>1265</v>
      </c>
    </row>
    <row r="449" customFormat="false" ht="15" hidden="false" customHeight="false" outlineLevel="0" collapsed="false">
      <c r="A449" s="7" t="s">
        <v>359</v>
      </c>
      <c r="B449" s="7" t="s">
        <v>360</v>
      </c>
      <c r="C449" s="7" t="s">
        <v>361</v>
      </c>
      <c r="D449" s="7" t="s">
        <v>1266</v>
      </c>
      <c r="E449" s="7" t="s">
        <v>185</v>
      </c>
      <c r="F449" s="7" t="s">
        <v>1267</v>
      </c>
    </row>
    <row r="450" customFormat="false" ht="15" hidden="false" customHeight="false" outlineLevel="0" collapsed="false">
      <c r="A450" s="7" t="s">
        <v>359</v>
      </c>
      <c r="B450" s="7" t="s">
        <v>360</v>
      </c>
      <c r="C450" s="7" t="s">
        <v>361</v>
      </c>
      <c r="D450" s="7" t="s">
        <v>1268</v>
      </c>
      <c r="E450" s="7" t="s">
        <v>278</v>
      </c>
      <c r="F450" s="7" t="s">
        <v>1269</v>
      </c>
    </row>
    <row r="451" customFormat="false" ht="15" hidden="false" customHeight="false" outlineLevel="0" collapsed="false">
      <c r="A451" s="7" t="s">
        <v>359</v>
      </c>
      <c r="B451" s="7" t="s">
        <v>360</v>
      </c>
      <c r="C451" s="7" t="s">
        <v>361</v>
      </c>
      <c r="D451" s="7" t="s">
        <v>1270</v>
      </c>
      <c r="E451" s="7" t="s">
        <v>302</v>
      </c>
      <c r="F451" s="7" t="s">
        <v>1271</v>
      </c>
    </row>
    <row r="452" customFormat="false" ht="15" hidden="false" customHeight="false" outlineLevel="0" collapsed="false">
      <c r="A452" s="7" t="s">
        <v>359</v>
      </c>
      <c r="B452" s="7" t="s">
        <v>360</v>
      </c>
      <c r="C452" s="7" t="s">
        <v>361</v>
      </c>
      <c r="D452" s="7" t="s">
        <v>1272</v>
      </c>
      <c r="E452" s="7" t="s">
        <v>137</v>
      </c>
      <c r="F452" s="7" t="s">
        <v>1273</v>
      </c>
    </row>
    <row r="453" customFormat="false" ht="15" hidden="false" customHeight="false" outlineLevel="0" collapsed="false">
      <c r="A453" s="7" t="s">
        <v>359</v>
      </c>
      <c r="B453" s="7" t="s">
        <v>360</v>
      </c>
      <c r="C453" s="7" t="s">
        <v>361</v>
      </c>
      <c r="D453" s="7" t="s">
        <v>1274</v>
      </c>
      <c r="E453" s="7" t="s">
        <v>104</v>
      </c>
      <c r="F453" s="7" t="s">
        <v>1275</v>
      </c>
    </row>
    <row r="454" customFormat="false" ht="15" hidden="false" customHeight="false" outlineLevel="0" collapsed="false">
      <c r="A454" s="7" t="s">
        <v>359</v>
      </c>
      <c r="B454" s="7" t="s">
        <v>360</v>
      </c>
      <c r="C454" s="7" t="s">
        <v>361</v>
      </c>
      <c r="D454" s="7" t="s">
        <v>1276</v>
      </c>
      <c r="E454" s="7" t="s">
        <v>98</v>
      </c>
      <c r="F454" s="7" t="s">
        <v>1277</v>
      </c>
    </row>
    <row r="455" customFormat="false" ht="15" hidden="false" customHeight="false" outlineLevel="0" collapsed="false">
      <c r="A455" s="7" t="s">
        <v>359</v>
      </c>
      <c r="B455" s="7" t="s">
        <v>360</v>
      </c>
      <c r="C455" s="7" t="s">
        <v>361</v>
      </c>
      <c r="D455" s="7" t="s">
        <v>1278</v>
      </c>
      <c r="E455" s="7" t="s">
        <v>38</v>
      </c>
      <c r="F455" s="7" t="s">
        <v>1279</v>
      </c>
    </row>
    <row r="456" customFormat="false" ht="15" hidden="false" customHeight="false" outlineLevel="0" collapsed="false">
      <c r="A456" s="7" t="s">
        <v>359</v>
      </c>
      <c r="B456" s="7" t="s">
        <v>360</v>
      </c>
      <c r="C456" s="7" t="s">
        <v>361</v>
      </c>
      <c r="D456" s="7" t="s">
        <v>1280</v>
      </c>
      <c r="E456" s="7" t="s">
        <v>101</v>
      </c>
      <c r="F456" s="7" t="s">
        <v>1281</v>
      </c>
    </row>
    <row r="457" customFormat="false" ht="15" hidden="false" customHeight="false" outlineLevel="0" collapsed="false">
      <c r="A457" s="7" t="s">
        <v>359</v>
      </c>
      <c r="B457" s="7" t="s">
        <v>360</v>
      </c>
      <c r="C457" s="7" t="s">
        <v>361</v>
      </c>
      <c r="D457" s="7" t="s">
        <v>1282</v>
      </c>
      <c r="E457" s="7" t="s">
        <v>111</v>
      </c>
      <c r="F457" s="7" t="s">
        <v>1283</v>
      </c>
    </row>
    <row r="458" customFormat="false" ht="15" hidden="false" customHeight="false" outlineLevel="0" collapsed="false">
      <c r="A458" s="7" t="s">
        <v>359</v>
      </c>
      <c r="B458" s="7" t="s">
        <v>360</v>
      </c>
      <c r="C458" s="7" t="s">
        <v>361</v>
      </c>
      <c r="D458" s="7" t="s">
        <v>1284</v>
      </c>
      <c r="E458" s="7" t="s">
        <v>135</v>
      </c>
      <c r="F458" s="7" t="s">
        <v>1285</v>
      </c>
    </row>
    <row r="459" customFormat="false" ht="15" hidden="false" customHeight="false" outlineLevel="0" collapsed="false">
      <c r="A459" s="7" t="s">
        <v>359</v>
      </c>
      <c r="B459" s="7" t="s">
        <v>360</v>
      </c>
      <c r="C459" s="7" t="s">
        <v>361</v>
      </c>
      <c r="D459" s="7" t="s">
        <v>1286</v>
      </c>
      <c r="E459" s="7" t="s">
        <v>108</v>
      </c>
      <c r="F459" s="7" t="s">
        <v>1287</v>
      </c>
    </row>
    <row r="460" customFormat="false" ht="15" hidden="false" customHeight="false" outlineLevel="0" collapsed="false">
      <c r="A460" s="7" t="s">
        <v>359</v>
      </c>
      <c r="B460" s="7" t="s">
        <v>360</v>
      </c>
      <c r="C460" s="7" t="s">
        <v>361</v>
      </c>
      <c r="D460" s="7" t="s">
        <v>1288</v>
      </c>
      <c r="E460" s="7" t="s">
        <v>347</v>
      </c>
      <c r="F460" s="7" t="s">
        <v>1289</v>
      </c>
    </row>
    <row r="461" customFormat="false" ht="15" hidden="false" customHeight="false" outlineLevel="0" collapsed="false">
      <c r="A461" s="7" t="s">
        <v>359</v>
      </c>
      <c r="B461" s="7" t="s">
        <v>360</v>
      </c>
      <c r="C461" s="7" t="s">
        <v>361</v>
      </c>
      <c r="D461" s="7" t="s">
        <v>1290</v>
      </c>
      <c r="E461" s="7" t="s">
        <v>65</v>
      </c>
      <c r="F461" s="7" t="s">
        <v>1291</v>
      </c>
    </row>
    <row r="462" customFormat="false" ht="15" hidden="false" customHeight="false" outlineLevel="0" collapsed="false">
      <c r="A462" s="7" t="s">
        <v>359</v>
      </c>
      <c r="B462" s="7" t="s">
        <v>360</v>
      </c>
      <c r="C462" s="7" t="s">
        <v>361</v>
      </c>
      <c r="D462" s="7" t="s">
        <v>1292</v>
      </c>
      <c r="E462" s="7" t="s">
        <v>281</v>
      </c>
      <c r="F462" s="7" t="s">
        <v>1293</v>
      </c>
    </row>
    <row r="463" customFormat="false" ht="15" hidden="false" customHeight="false" outlineLevel="0" collapsed="false">
      <c r="A463" s="7" t="s">
        <v>359</v>
      </c>
      <c r="B463" s="7" t="s">
        <v>360</v>
      </c>
      <c r="C463" s="7" t="s">
        <v>361</v>
      </c>
      <c r="D463" s="7" t="s">
        <v>1294</v>
      </c>
      <c r="E463" s="7" t="s">
        <v>98</v>
      </c>
      <c r="F463" s="7" t="s">
        <v>1295</v>
      </c>
    </row>
    <row r="464" customFormat="false" ht="15" hidden="false" customHeight="false" outlineLevel="0" collapsed="false">
      <c r="A464" s="7" t="s">
        <v>359</v>
      </c>
      <c r="B464" s="7" t="s">
        <v>360</v>
      </c>
      <c r="C464" s="7" t="s">
        <v>361</v>
      </c>
      <c r="D464" s="7" t="s">
        <v>1296</v>
      </c>
      <c r="E464" s="7" t="s">
        <v>232</v>
      </c>
      <c r="F464" s="7" t="s">
        <v>1297</v>
      </c>
    </row>
    <row r="465" customFormat="false" ht="15" hidden="false" customHeight="false" outlineLevel="0" collapsed="false">
      <c r="A465" s="7" t="s">
        <v>359</v>
      </c>
      <c r="B465" s="7" t="s">
        <v>360</v>
      </c>
      <c r="C465" s="7" t="s">
        <v>361</v>
      </c>
      <c r="D465" s="7" t="s">
        <v>1298</v>
      </c>
      <c r="E465" s="7" t="s">
        <v>325</v>
      </c>
      <c r="F465" s="7" t="s">
        <v>1299</v>
      </c>
    </row>
    <row r="466" customFormat="false" ht="15" hidden="false" customHeight="false" outlineLevel="0" collapsed="false">
      <c r="A466" s="7" t="s">
        <v>359</v>
      </c>
      <c r="B466" s="7" t="s">
        <v>360</v>
      </c>
      <c r="C466" s="7" t="s">
        <v>361</v>
      </c>
      <c r="D466" s="7" t="s">
        <v>1300</v>
      </c>
      <c r="E466" s="7" t="s">
        <v>327</v>
      </c>
      <c r="F466" s="7" t="s">
        <v>1301</v>
      </c>
    </row>
    <row r="467" customFormat="false" ht="15" hidden="false" customHeight="false" outlineLevel="0" collapsed="false">
      <c r="A467" s="7" t="s">
        <v>359</v>
      </c>
      <c r="B467" s="7" t="s">
        <v>360</v>
      </c>
      <c r="C467" s="7" t="s">
        <v>361</v>
      </c>
      <c r="D467" s="7" t="s">
        <v>1302</v>
      </c>
      <c r="E467" s="7" t="s">
        <v>185</v>
      </c>
      <c r="F467" s="7" t="s">
        <v>1303</v>
      </c>
    </row>
    <row r="468" customFormat="false" ht="15" hidden="false" customHeight="false" outlineLevel="0" collapsed="false">
      <c r="A468" s="7" t="s">
        <v>359</v>
      </c>
      <c r="B468" s="7" t="s">
        <v>360</v>
      </c>
      <c r="C468" s="7" t="s">
        <v>361</v>
      </c>
      <c r="D468" s="7" t="s">
        <v>1304</v>
      </c>
      <c r="E468" s="7" t="s">
        <v>269</v>
      </c>
      <c r="F468" s="7" t="s">
        <v>1305</v>
      </c>
    </row>
    <row r="469" customFormat="false" ht="15" hidden="false" customHeight="false" outlineLevel="0" collapsed="false">
      <c r="A469" s="7" t="s">
        <v>359</v>
      </c>
      <c r="B469" s="7" t="s">
        <v>360</v>
      </c>
      <c r="C469" s="7" t="s">
        <v>361</v>
      </c>
      <c r="D469" s="7" t="s">
        <v>1306</v>
      </c>
      <c r="E469" s="7" t="s">
        <v>350</v>
      </c>
      <c r="F469" s="7" t="s">
        <v>1307</v>
      </c>
    </row>
    <row r="470" customFormat="false" ht="15" hidden="false" customHeight="false" outlineLevel="0" collapsed="false">
      <c r="A470" s="7" t="s">
        <v>359</v>
      </c>
      <c r="B470" s="7" t="s">
        <v>360</v>
      </c>
      <c r="C470" s="7" t="s">
        <v>361</v>
      </c>
      <c r="D470" s="7" t="s">
        <v>1308</v>
      </c>
      <c r="E470" s="7" t="s">
        <v>201</v>
      </c>
      <c r="F470" s="7" t="s">
        <v>1309</v>
      </c>
    </row>
    <row r="471" customFormat="false" ht="15" hidden="false" customHeight="false" outlineLevel="0" collapsed="false">
      <c r="A471" s="7" t="s">
        <v>359</v>
      </c>
      <c r="B471" s="7" t="s">
        <v>360</v>
      </c>
      <c r="C471" s="7" t="s">
        <v>361</v>
      </c>
      <c r="D471" s="7" t="s">
        <v>1310</v>
      </c>
      <c r="E471" s="7" t="s">
        <v>296</v>
      </c>
      <c r="F471" s="7" t="s">
        <v>1311</v>
      </c>
    </row>
    <row r="472" customFormat="false" ht="15" hidden="false" customHeight="false" outlineLevel="0" collapsed="false">
      <c r="A472" s="7" t="s">
        <v>359</v>
      </c>
      <c r="B472" s="7" t="s">
        <v>360</v>
      </c>
      <c r="C472" s="7" t="s">
        <v>361</v>
      </c>
      <c r="D472" s="7" t="s">
        <v>1312</v>
      </c>
      <c r="E472" s="7" t="s">
        <v>301</v>
      </c>
      <c r="F472" s="7" t="s">
        <v>1313</v>
      </c>
    </row>
    <row r="473" customFormat="false" ht="15" hidden="false" customHeight="false" outlineLevel="0" collapsed="false">
      <c r="A473" s="7" t="s">
        <v>359</v>
      </c>
      <c r="B473" s="7" t="s">
        <v>360</v>
      </c>
      <c r="C473" s="7" t="s">
        <v>361</v>
      </c>
      <c r="D473" s="7" t="s">
        <v>1314</v>
      </c>
      <c r="E473" s="7" t="s">
        <v>243</v>
      </c>
      <c r="F473" s="7" t="s">
        <v>1315</v>
      </c>
    </row>
    <row r="474" customFormat="false" ht="15" hidden="false" customHeight="false" outlineLevel="0" collapsed="false">
      <c r="A474" s="7" t="s">
        <v>359</v>
      </c>
      <c r="B474" s="7" t="s">
        <v>360</v>
      </c>
      <c r="C474" s="7" t="s">
        <v>361</v>
      </c>
      <c r="D474" s="7" t="s">
        <v>1316</v>
      </c>
      <c r="E474" s="7" t="s">
        <v>273</v>
      </c>
      <c r="F474" s="7" t="s">
        <v>1317</v>
      </c>
    </row>
    <row r="475" customFormat="false" ht="15" hidden="false" customHeight="false" outlineLevel="0" collapsed="false">
      <c r="A475" s="7" t="s">
        <v>359</v>
      </c>
      <c r="B475" s="7" t="s">
        <v>360</v>
      </c>
      <c r="C475" s="7" t="s">
        <v>361</v>
      </c>
      <c r="D475" s="7" t="s">
        <v>1318</v>
      </c>
      <c r="E475" s="7" t="s">
        <v>285</v>
      </c>
      <c r="F475" s="7" t="s">
        <v>1319</v>
      </c>
    </row>
    <row r="476" customFormat="false" ht="15" hidden="false" customHeight="false" outlineLevel="0" collapsed="false">
      <c r="A476" s="7" t="s">
        <v>359</v>
      </c>
      <c r="B476" s="7" t="s">
        <v>360</v>
      </c>
      <c r="C476" s="7" t="s">
        <v>361</v>
      </c>
      <c r="D476" s="7" t="s">
        <v>1320</v>
      </c>
      <c r="E476" s="7" t="s">
        <v>229</v>
      </c>
      <c r="F476" s="7" t="s">
        <v>1321</v>
      </c>
    </row>
    <row r="477" customFormat="false" ht="15" hidden="false" customHeight="false" outlineLevel="0" collapsed="false">
      <c r="A477" s="7" t="s">
        <v>359</v>
      </c>
      <c r="B477" s="7" t="s">
        <v>360</v>
      </c>
      <c r="C477" s="7" t="s">
        <v>361</v>
      </c>
      <c r="D477" s="7" t="s">
        <v>1322</v>
      </c>
      <c r="E477" s="7" t="s">
        <v>203</v>
      </c>
      <c r="F477" s="7" t="s">
        <v>1323</v>
      </c>
    </row>
    <row r="478" customFormat="false" ht="15" hidden="false" customHeight="false" outlineLevel="0" collapsed="false">
      <c r="A478" s="7" t="s">
        <v>359</v>
      </c>
      <c r="B478" s="7" t="s">
        <v>360</v>
      </c>
      <c r="C478" s="7" t="s">
        <v>361</v>
      </c>
      <c r="D478" s="7" t="s">
        <v>1324</v>
      </c>
      <c r="E478" s="7" t="s">
        <v>312</v>
      </c>
      <c r="F478" s="7" t="s">
        <v>1325</v>
      </c>
    </row>
    <row r="479" customFormat="false" ht="15" hidden="false" customHeight="false" outlineLevel="0" collapsed="false">
      <c r="A479" s="7" t="s">
        <v>359</v>
      </c>
      <c r="B479" s="7" t="s">
        <v>360</v>
      </c>
      <c r="C479" s="7" t="s">
        <v>361</v>
      </c>
      <c r="D479" s="7" t="s">
        <v>1326</v>
      </c>
      <c r="E479" s="7" t="s">
        <v>252</v>
      </c>
      <c r="F479" s="7" t="s">
        <v>1327</v>
      </c>
    </row>
    <row r="480" customFormat="false" ht="15" hidden="false" customHeight="false" outlineLevel="0" collapsed="false">
      <c r="A480" s="7" t="s">
        <v>359</v>
      </c>
      <c r="B480" s="7" t="s">
        <v>360</v>
      </c>
      <c r="C480" s="7" t="s">
        <v>361</v>
      </c>
      <c r="D480" s="7" t="s">
        <v>1328</v>
      </c>
      <c r="E480" s="7" t="s">
        <v>226</v>
      </c>
      <c r="F480" s="7" t="s">
        <v>1329</v>
      </c>
    </row>
    <row r="481" customFormat="false" ht="15" hidden="false" customHeight="false" outlineLevel="0" collapsed="false">
      <c r="A481" s="7" t="s">
        <v>359</v>
      </c>
      <c r="B481" s="7" t="s">
        <v>360</v>
      </c>
      <c r="C481" s="7" t="s">
        <v>361</v>
      </c>
      <c r="D481" s="7" t="s">
        <v>1330</v>
      </c>
      <c r="E481" s="7" t="s">
        <v>312</v>
      </c>
      <c r="F481" s="7" t="s">
        <v>1331</v>
      </c>
    </row>
    <row r="482" customFormat="false" ht="15" hidden="false" customHeight="false" outlineLevel="0" collapsed="false">
      <c r="A482" s="7" t="s">
        <v>359</v>
      </c>
      <c r="B482" s="7" t="s">
        <v>360</v>
      </c>
      <c r="C482" s="7" t="s">
        <v>361</v>
      </c>
      <c r="D482" s="7" t="s">
        <v>1332</v>
      </c>
      <c r="E482" s="7" t="s">
        <v>312</v>
      </c>
      <c r="F482" s="7" t="s">
        <v>1333</v>
      </c>
    </row>
    <row r="483" customFormat="false" ht="15" hidden="false" customHeight="false" outlineLevel="0" collapsed="false">
      <c r="A483" s="7" t="s">
        <v>359</v>
      </c>
      <c r="B483" s="7" t="s">
        <v>360</v>
      </c>
      <c r="C483" s="7" t="s">
        <v>361</v>
      </c>
      <c r="D483" s="7" t="s">
        <v>1334</v>
      </c>
      <c r="E483" s="7" t="s">
        <v>238</v>
      </c>
      <c r="F483" s="7" t="s">
        <v>1335</v>
      </c>
    </row>
    <row r="484" customFormat="false" ht="15" hidden="false" customHeight="false" outlineLevel="0" collapsed="false">
      <c r="A484" s="7" t="s">
        <v>359</v>
      </c>
      <c r="B484" s="7" t="s">
        <v>360</v>
      </c>
      <c r="C484" s="7" t="s">
        <v>361</v>
      </c>
      <c r="D484" s="7" t="s">
        <v>1336</v>
      </c>
      <c r="E484" s="7" t="s">
        <v>232</v>
      </c>
      <c r="F484" s="7" t="s">
        <v>1337</v>
      </c>
    </row>
    <row r="485" customFormat="false" ht="15" hidden="false" customHeight="false" outlineLevel="0" collapsed="false">
      <c r="A485" s="7" t="s">
        <v>359</v>
      </c>
      <c r="B485" s="7" t="s">
        <v>360</v>
      </c>
      <c r="C485" s="7" t="s">
        <v>361</v>
      </c>
      <c r="D485" s="7" t="s">
        <v>1338</v>
      </c>
      <c r="E485" s="7" t="s">
        <v>229</v>
      </c>
      <c r="F485" s="7" t="s">
        <v>1339</v>
      </c>
    </row>
    <row r="486" customFormat="false" ht="15" hidden="false" customHeight="false" outlineLevel="0" collapsed="false">
      <c r="A486" s="7" t="s">
        <v>359</v>
      </c>
      <c r="B486" s="7" t="s">
        <v>360</v>
      </c>
      <c r="C486" s="7" t="s">
        <v>361</v>
      </c>
      <c r="D486" s="7" t="s">
        <v>1340</v>
      </c>
      <c r="E486" s="7" t="s">
        <v>199</v>
      </c>
      <c r="F486" s="7" t="s">
        <v>1341</v>
      </c>
    </row>
    <row r="487" customFormat="false" ht="15" hidden="false" customHeight="false" outlineLevel="0" collapsed="false">
      <c r="A487" s="7" t="s">
        <v>359</v>
      </c>
      <c r="B487" s="7" t="s">
        <v>360</v>
      </c>
      <c r="C487" s="7" t="s">
        <v>361</v>
      </c>
      <c r="D487" s="7" t="s">
        <v>1342</v>
      </c>
      <c r="E487" s="7" t="s">
        <v>65</v>
      </c>
      <c r="F487" s="7" t="s">
        <v>1343</v>
      </c>
    </row>
    <row r="488" customFormat="false" ht="15" hidden="false" customHeight="false" outlineLevel="0" collapsed="false">
      <c r="A488" s="7" t="s">
        <v>359</v>
      </c>
      <c r="B488" s="7" t="s">
        <v>360</v>
      </c>
      <c r="C488" s="7" t="s">
        <v>361</v>
      </c>
      <c r="D488" s="7" t="s">
        <v>1344</v>
      </c>
      <c r="E488" s="7" t="s">
        <v>242</v>
      </c>
      <c r="F488" s="7" t="s">
        <v>1345</v>
      </c>
    </row>
    <row r="489" customFormat="false" ht="15" hidden="false" customHeight="false" outlineLevel="0" collapsed="false">
      <c r="A489" s="7" t="s">
        <v>359</v>
      </c>
      <c r="B489" s="7" t="s">
        <v>360</v>
      </c>
      <c r="C489" s="7" t="s">
        <v>361</v>
      </c>
      <c r="D489" s="7" t="s">
        <v>1346</v>
      </c>
      <c r="E489" s="7" t="s">
        <v>118</v>
      </c>
      <c r="F489" s="7" t="s">
        <v>1347</v>
      </c>
    </row>
    <row r="490" customFormat="false" ht="15" hidden="false" customHeight="false" outlineLevel="0" collapsed="false">
      <c r="A490" s="7" t="s">
        <v>359</v>
      </c>
      <c r="B490" s="7" t="s">
        <v>360</v>
      </c>
      <c r="C490" s="7" t="s">
        <v>361</v>
      </c>
      <c r="D490" s="7" t="s">
        <v>1348</v>
      </c>
      <c r="E490" s="7" t="s">
        <v>260</v>
      </c>
      <c r="F490" s="7" t="s">
        <v>1349</v>
      </c>
    </row>
    <row r="491" customFormat="false" ht="15" hidden="false" customHeight="false" outlineLevel="0" collapsed="false">
      <c r="A491" s="7" t="s">
        <v>359</v>
      </c>
      <c r="B491" s="7" t="s">
        <v>360</v>
      </c>
      <c r="C491" s="7" t="s">
        <v>361</v>
      </c>
      <c r="D491" s="7" t="s">
        <v>1350</v>
      </c>
      <c r="E491" s="7" t="s">
        <v>291</v>
      </c>
      <c r="F491" s="7" t="s">
        <v>1351</v>
      </c>
    </row>
    <row r="492" customFormat="false" ht="15" hidden="false" customHeight="false" outlineLevel="0" collapsed="false">
      <c r="A492" s="7" t="s">
        <v>359</v>
      </c>
      <c r="B492" s="7" t="s">
        <v>360</v>
      </c>
      <c r="C492" s="7" t="s">
        <v>361</v>
      </c>
      <c r="D492" s="7" t="s">
        <v>1352</v>
      </c>
      <c r="E492" s="7" t="s">
        <v>165</v>
      </c>
      <c r="F492" s="7" t="s">
        <v>1353</v>
      </c>
    </row>
    <row r="493" customFormat="false" ht="15" hidden="false" customHeight="false" outlineLevel="0" collapsed="false">
      <c r="A493" s="7" t="s">
        <v>359</v>
      </c>
      <c r="B493" s="7" t="s">
        <v>360</v>
      </c>
      <c r="C493" s="7" t="s">
        <v>361</v>
      </c>
      <c r="D493" s="7" t="s">
        <v>1354</v>
      </c>
      <c r="E493" s="7" t="s">
        <v>102</v>
      </c>
      <c r="F493" s="7" t="s">
        <v>1355</v>
      </c>
    </row>
    <row r="494" customFormat="false" ht="15" hidden="false" customHeight="false" outlineLevel="0" collapsed="false">
      <c r="A494" s="7" t="s">
        <v>359</v>
      </c>
      <c r="B494" s="7" t="s">
        <v>360</v>
      </c>
      <c r="C494" s="7" t="s">
        <v>361</v>
      </c>
      <c r="D494" s="7" t="s">
        <v>1356</v>
      </c>
      <c r="E494" s="7" t="s">
        <v>301</v>
      </c>
      <c r="F494" s="7" t="s">
        <v>1357</v>
      </c>
    </row>
    <row r="495" customFormat="false" ht="15" hidden="false" customHeight="false" outlineLevel="0" collapsed="false">
      <c r="A495" s="7" t="s">
        <v>359</v>
      </c>
      <c r="B495" s="7" t="s">
        <v>360</v>
      </c>
      <c r="C495" s="7" t="s">
        <v>361</v>
      </c>
      <c r="D495" s="7" t="s">
        <v>1358</v>
      </c>
      <c r="E495" s="7" t="s">
        <v>343</v>
      </c>
      <c r="F495" s="7" t="s">
        <v>1359</v>
      </c>
    </row>
    <row r="496" customFormat="false" ht="15" hidden="false" customHeight="false" outlineLevel="0" collapsed="false">
      <c r="A496" s="7" t="s">
        <v>359</v>
      </c>
      <c r="B496" s="7" t="s">
        <v>360</v>
      </c>
      <c r="C496" s="7" t="s">
        <v>361</v>
      </c>
      <c r="D496" s="7" t="s">
        <v>1360</v>
      </c>
      <c r="E496" s="7" t="s">
        <v>144</v>
      </c>
      <c r="F496" s="7" t="s">
        <v>1361</v>
      </c>
    </row>
    <row r="497" customFormat="false" ht="15" hidden="false" customHeight="false" outlineLevel="0" collapsed="false">
      <c r="A497" s="7" t="s">
        <v>359</v>
      </c>
      <c r="B497" s="7" t="s">
        <v>360</v>
      </c>
      <c r="C497" s="7" t="s">
        <v>361</v>
      </c>
      <c r="D497" s="7" t="s">
        <v>1362</v>
      </c>
      <c r="E497" s="7" t="s">
        <v>137</v>
      </c>
      <c r="F497" s="7" t="s">
        <v>1363</v>
      </c>
    </row>
    <row r="498" customFormat="false" ht="15" hidden="false" customHeight="false" outlineLevel="0" collapsed="false">
      <c r="A498" s="7" t="s">
        <v>359</v>
      </c>
      <c r="B498" s="7" t="s">
        <v>360</v>
      </c>
      <c r="C498" s="7" t="s">
        <v>361</v>
      </c>
      <c r="D498" s="7" t="s">
        <v>1364</v>
      </c>
      <c r="E498" s="7" t="s">
        <v>215</v>
      </c>
      <c r="F498" s="7" t="s">
        <v>1365</v>
      </c>
    </row>
    <row r="499" customFormat="false" ht="15" hidden="false" customHeight="false" outlineLevel="0" collapsed="false">
      <c r="A499" s="7" t="s">
        <v>359</v>
      </c>
      <c r="B499" s="7" t="s">
        <v>360</v>
      </c>
      <c r="C499" s="7" t="s">
        <v>361</v>
      </c>
      <c r="D499" s="7" t="s">
        <v>1366</v>
      </c>
      <c r="E499" s="7" t="s">
        <v>301</v>
      </c>
      <c r="F499" s="7" t="s">
        <v>1367</v>
      </c>
    </row>
    <row r="500" customFormat="false" ht="15" hidden="false" customHeight="false" outlineLevel="0" collapsed="false">
      <c r="A500" s="7" t="s">
        <v>359</v>
      </c>
      <c r="B500" s="7" t="s">
        <v>360</v>
      </c>
      <c r="C500" s="7" t="s">
        <v>361</v>
      </c>
      <c r="D500" s="7" t="s">
        <v>1368</v>
      </c>
      <c r="E500" s="7" t="s">
        <v>57</v>
      </c>
      <c r="F500" s="7" t="s">
        <v>1369</v>
      </c>
    </row>
    <row r="501" customFormat="false" ht="15" hidden="false" customHeight="false" outlineLevel="0" collapsed="false">
      <c r="A501" s="7" t="s">
        <v>359</v>
      </c>
      <c r="B501" s="7" t="s">
        <v>360</v>
      </c>
      <c r="C501" s="7" t="s">
        <v>361</v>
      </c>
      <c r="D501" s="7" t="s">
        <v>1370</v>
      </c>
      <c r="E501" s="7" t="s">
        <v>138</v>
      </c>
      <c r="F501" s="7" t="s">
        <v>1371</v>
      </c>
    </row>
    <row r="502" customFormat="false" ht="15" hidden="false" customHeight="false" outlineLevel="0" collapsed="false">
      <c r="A502" s="7" t="s">
        <v>359</v>
      </c>
      <c r="B502" s="7" t="s">
        <v>360</v>
      </c>
      <c r="C502" s="7" t="s">
        <v>361</v>
      </c>
      <c r="D502" s="7" t="s">
        <v>1372</v>
      </c>
      <c r="E502" s="7" t="s">
        <v>167</v>
      </c>
      <c r="F502" s="7" t="s">
        <v>1373</v>
      </c>
    </row>
    <row r="503" customFormat="false" ht="15" hidden="false" customHeight="false" outlineLevel="0" collapsed="false">
      <c r="A503" s="7" t="s">
        <v>359</v>
      </c>
      <c r="B503" s="7" t="s">
        <v>360</v>
      </c>
      <c r="C503" s="7" t="s">
        <v>361</v>
      </c>
      <c r="D503" s="7" t="s">
        <v>1374</v>
      </c>
      <c r="E503" s="7" t="s">
        <v>186</v>
      </c>
      <c r="F503" s="7" t="s">
        <v>1375</v>
      </c>
    </row>
    <row r="504" customFormat="false" ht="15" hidden="false" customHeight="false" outlineLevel="0" collapsed="false">
      <c r="A504" s="7" t="s">
        <v>359</v>
      </c>
      <c r="B504" s="7" t="s">
        <v>360</v>
      </c>
      <c r="C504" s="7" t="s">
        <v>361</v>
      </c>
      <c r="D504" s="7" t="s">
        <v>1376</v>
      </c>
      <c r="E504" s="7" t="s">
        <v>246</v>
      </c>
      <c r="F504" s="7" t="s">
        <v>1377</v>
      </c>
    </row>
    <row r="505" customFormat="false" ht="15" hidden="false" customHeight="false" outlineLevel="0" collapsed="false">
      <c r="A505" s="7" t="s">
        <v>359</v>
      </c>
      <c r="B505" s="7" t="s">
        <v>360</v>
      </c>
      <c r="C505" s="7" t="s">
        <v>361</v>
      </c>
      <c r="D505" s="7" t="s">
        <v>1378</v>
      </c>
      <c r="E505" s="7" t="s">
        <v>173</v>
      </c>
      <c r="F505" s="7" t="s">
        <v>1379</v>
      </c>
    </row>
    <row r="506" customFormat="false" ht="15" hidden="false" customHeight="false" outlineLevel="0" collapsed="false">
      <c r="A506" s="7" t="s">
        <v>359</v>
      </c>
      <c r="B506" s="7" t="s">
        <v>360</v>
      </c>
      <c r="C506" s="7" t="s">
        <v>361</v>
      </c>
      <c r="D506" s="7" t="s">
        <v>1380</v>
      </c>
      <c r="E506" s="7" t="s">
        <v>118</v>
      </c>
      <c r="F506" s="7" t="s">
        <v>1381</v>
      </c>
    </row>
    <row r="507" customFormat="false" ht="15" hidden="false" customHeight="false" outlineLevel="0" collapsed="false">
      <c r="A507" s="7" t="s">
        <v>359</v>
      </c>
      <c r="B507" s="7" t="s">
        <v>360</v>
      </c>
      <c r="C507" s="7" t="s">
        <v>361</v>
      </c>
      <c r="D507" s="7" t="s">
        <v>1382</v>
      </c>
      <c r="E507" s="7" t="s">
        <v>177</v>
      </c>
      <c r="F507" s="7" t="s">
        <v>1383</v>
      </c>
    </row>
    <row r="508" customFormat="false" ht="15" hidden="false" customHeight="false" outlineLevel="0" collapsed="false">
      <c r="A508" s="7" t="s">
        <v>359</v>
      </c>
      <c r="B508" s="7" t="s">
        <v>360</v>
      </c>
      <c r="C508" s="7" t="s">
        <v>361</v>
      </c>
      <c r="D508" s="7" t="s">
        <v>1384</v>
      </c>
      <c r="E508" s="7" t="s">
        <v>43</v>
      </c>
      <c r="F508" s="7" t="s">
        <v>1385</v>
      </c>
    </row>
    <row r="509" customFormat="false" ht="15" hidden="false" customHeight="false" outlineLevel="0" collapsed="false">
      <c r="A509" s="7" t="s">
        <v>359</v>
      </c>
      <c r="B509" s="7" t="s">
        <v>360</v>
      </c>
      <c r="C509" s="7" t="s">
        <v>361</v>
      </c>
      <c r="D509" s="7" t="s">
        <v>1386</v>
      </c>
      <c r="E509" s="7" t="s">
        <v>59</v>
      </c>
      <c r="F509" s="7" t="s">
        <v>1387</v>
      </c>
    </row>
    <row r="510" customFormat="false" ht="15" hidden="false" customHeight="false" outlineLevel="0" collapsed="false">
      <c r="A510" s="7" t="s">
        <v>359</v>
      </c>
      <c r="B510" s="7" t="s">
        <v>360</v>
      </c>
      <c r="C510" s="7" t="s">
        <v>361</v>
      </c>
      <c r="D510" s="7" t="s">
        <v>1388</v>
      </c>
      <c r="E510" s="7" t="s">
        <v>140</v>
      </c>
      <c r="F510" s="7" t="s">
        <v>1389</v>
      </c>
    </row>
    <row r="511" customFormat="false" ht="15" hidden="false" customHeight="false" outlineLevel="0" collapsed="false">
      <c r="A511" s="7" t="s">
        <v>359</v>
      </c>
      <c r="B511" s="7" t="s">
        <v>360</v>
      </c>
      <c r="C511" s="7" t="s">
        <v>361</v>
      </c>
      <c r="D511" s="7" t="s">
        <v>1390</v>
      </c>
      <c r="E511" s="7" t="s">
        <v>41</v>
      </c>
      <c r="F511" s="7" t="s">
        <v>1391</v>
      </c>
    </row>
    <row r="512" customFormat="false" ht="15" hidden="false" customHeight="false" outlineLevel="0" collapsed="false">
      <c r="A512" s="7" t="s">
        <v>359</v>
      </c>
      <c r="B512" s="7" t="s">
        <v>360</v>
      </c>
      <c r="C512" s="7" t="s">
        <v>361</v>
      </c>
      <c r="D512" s="7" t="s">
        <v>1392</v>
      </c>
      <c r="E512" s="7" t="s">
        <v>167</v>
      </c>
      <c r="F512" s="7" t="s">
        <v>1393</v>
      </c>
    </row>
    <row r="513" customFormat="false" ht="15" hidden="false" customHeight="false" outlineLevel="0" collapsed="false">
      <c r="A513" s="7" t="s">
        <v>359</v>
      </c>
      <c r="B513" s="7" t="s">
        <v>360</v>
      </c>
      <c r="C513" s="7" t="s">
        <v>361</v>
      </c>
      <c r="D513" s="7" t="s">
        <v>1394</v>
      </c>
      <c r="E513" s="7" t="s">
        <v>67</v>
      </c>
      <c r="F513" s="7" t="s">
        <v>1395</v>
      </c>
    </row>
    <row r="514" customFormat="false" ht="15" hidden="false" customHeight="false" outlineLevel="0" collapsed="false">
      <c r="A514" s="7" t="s">
        <v>359</v>
      </c>
      <c r="B514" s="7" t="s">
        <v>360</v>
      </c>
      <c r="C514" s="7" t="s">
        <v>361</v>
      </c>
      <c r="D514" s="7" t="s">
        <v>1396</v>
      </c>
      <c r="E514" s="7" t="s">
        <v>63</v>
      </c>
      <c r="F514" s="7" t="s">
        <v>1397</v>
      </c>
    </row>
    <row r="515" customFormat="false" ht="15" hidden="false" customHeight="false" outlineLevel="0" collapsed="false">
      <c r="A515" s="7" t="s">
        <v>359</v>
      </c>
      <c r="B515" s="7" t="s">
        <v>360</v>
      </c>
      <c r="C515" s="7" t="s">
        <v>361</v>
      </c>
      <c r="D515" s="7" t="s">
        <v>1398</v>
      </c>
      <c r="E515" s="7" t="s">
        <v>316</v>
      </c>
      <c r="F515" s="7" t="s">
        <v>1399</v>
      </c>
    </row>
    <row r="516" customFormat="false" ht="15" hidden="false" customHeight="false" outlineLevel="0" collapsed="false">
      <c r="A516" s="7" t="s">
        <v>359</v>
      </c>
      <c r="B516" s="7" t="s">
        <v>360</v>
      </c>
      <c r="C516" s="7" t="s">
        <v>361</v>
      </c>
      <c r="D516" s="7" t="s">
        <v>1400</v>
      </c>
      <c r="E516" s="7" t="s">
        <v>260</v>
      </c>
      <c r="F516" s="7" t="s">
        <v>1401</v>
      </c>
    </row>
    <row r="517" customFormat="false" ht="15" hidden="false" customHeight="false" outlineLevel="0" collapsed="false">
      <c r="A517" s="7" t="s">
        <v>359</v>
      </c>
      <c r="B517" s="7" t="s">
        <v>360</v>
      </c>
      <c r="C517" s="7" t="s">
        <v>361</v>
      </c>
      <c r="D517" s="7" t="s">
        <v>1402</v>
      </c>
      <c r="E517" s="7" t="s">
        <v>190</v>
      </c>
      <c r="F517" s="7" t="s">
        <v>1403</v>
      </c>
    </row>
    <row r="518" customFormat="false" ht="15" hidden="false" customHeight="false" outlineLevel="0" collapsed="false">
      <c r="A518" s="7" t="s">
        <v>359</v>
      </c>
      <c r="B518" s="7" t="s">
        <v>360</v>
      </c>
      <c r="C518" s="7" t="s">
        <v>361</v>
      </c>
      <c r="D518" s="7" t="s">
        <v>1404</v>
      </c>
      <c r="E518" s="7" t="s">
        <v>267</v>
      </c>
      <c r="F518" s="7" t="s">
        <v>1405</v>
      </c>
    </row>
    <row r="519" customFormat="false" ht="15" hidden="false" customHeight="false" outlineLevel="0" collapsed="false">
      <c r="A519" s="7" t="s">
        <v>359</v>
      </c>
      <c r="B519" s="7" t="s">
        <v>360</v>
      </c>
      <c r="C519" s="7" t="s">
        <v>361</v>
      </c>
      <c r="D519" s="7" t="s">
        <v>1406</v>
      </c>
      <c r="E519" s="7" t="s">
        <v>100</v>
      </c>
      <c r="F519" s="7" t="s">
        <v>1407</v>
      </c>
    </row>
    <row r="520" customFormat="false" ht="15" hidden="false" customHeight="false" outlineLevel="0" collapsed="false">
      <c r="A520" s="7" t="s">
        <v>359</v>
      </c>
      <c r="B520" s="7" t="s">
        <v>360</v>
      </c>
      <c r="C520" s="7" t="s">
        <v>361</v>
      </c>
      <c r="D520" s="7" t="s">
        <v>1408</v>
      </c>
      <c r="E520" s="7" t="s">
        <v>173</v>
      </c>
      <c r="F520" s="7" t="s">
        <v>1409</v>
      </c>
    </row>
    <row r="521" customFormat="false" ht="15" hidden="false" customHeight="false" outlineLevel="0" collapsed="false">
      <c r="A521" s="7" t="s">
        <v>359</v>
      </c>
      <c r="B521" s="7" t="s">
        <v>360</v>
      </c>
      <c r="C521" s="7" t="s">
        <v>361</v>
      </c>
      <c r="D521" s="7" t="s">
        <v>1410</v>
      </c>
      <c r="E521" s="7" t="s">
        <v>173</v>
      </c>
      <c r="F521" s="7" t="s">
        <v>1411</v>
      </c>
    </row>
    <row r="522" customFormat="false" ht="15" hidden="false" customHeight="false" outlineLevel="0" collapsed="false">
      <c r="A522" s="7" t="s">
        <v>359</v>
      </c>
      <c r="B522" s="7" t="s">
        <v>360</v>
      </c>
      <c r="C522" s="7" t="s">
        <v>361</v>
      </c>
      <c r="D522" s="7" t="s">
        <v>1412</v>
      </c>
      <c r="E522" s="7" t="s">
        <v>194</v>
      </c>
      <c r="F522" s="7" t="s">
        <v>1413</v>
      </c>
    </row>
    <row r="523" customFormat="false" ht="15" hidden="false" customHeight="false" outlineLevel="0" collapsed="false">
      <c r="A523" s="7" t="s">
        <v>359</v>
      </c>
      <c r="B523" s="7" t="s">
        <v>360</v>
      </c>
      <c r="C523" s="7" t="s">
        <v>361</v>
      </c>
      <c r="D523" s="7" t="s">
        <v>1414</v>
      </c>
      <c r="E523" s="7" t="s">
        <v>27</v>
      </c>
      <c r="F523" s="7" t="s">
        <v>1415</v>
      </c>
    </row>
    <row r="524" customFormat="false" ht="15" hidden="false" customHeight="false" outlineLevel="0" collapsed="false">
      <c r="A524" s="7" t="s">
        <v>359</v>
      </c>
      <c r="B524" s="7" t="s">
        <v>360</v>
      </c>
      <c r="C524" s="7" t="s">
        <v>361</v>
      </c>
      <c r="D524" s="7" t="s">
        <v>1416</v>
      </c>
      <c r="E524" s="7" t="s">
        <v>151</v>
      </c>
      <c r="F524" s="7" t="s">
        <v>1417</v>
      </c>
    </row>
    <row r="525" customFormat="false" ht="15" hidden="false" customHeight="false" outlineLevel="0" collapsed="false">
      <c r="A525" s="7" t="s">
        <v>359</v>
      </c>
      <c r="B525" s="7" t="s">
        <v>360</v>
      </c>
      <c r="C525" s="7" t="s">
        <v>361</v>
      </c>
      <c r="D525" s="7" t="s">
        <v>1418</v>
      </c>
      <c r="E525" s="7" t="s">
        <v>275</v>
      </c>
      <c r="F525" s="7" t="s">
        <v>1419</v>
      </c>
    </row>
    <row r="526" customFormat="false" ht="15" hidden="false" customHeight="false" outlineLevel="0" collapsed="false">
      <c r="A526" s="7" t="s">
        <v>359</v>
      </c>
      <c r="B526" s="7" t="s">
        <v>360</v>
      </c>
      <c r="C526" s="7" t="s">
        <v>361</v>
      </c>
      <c r="D526" s="7" t="s">
        <v>1420</v>
      </c>
      <c r="E526" s="7" t="s">
        <v>101</v>
      </c>
      <c r="F526" s="7" t="s">
        <v>1421</v>
      </c>
    </row>
    <row r="527" customFormat="false" ht="15" hidden="false" customHeight="false" outlineLevel="0" collapsed="false">
      <c r="A527" s="7" t="s">
        <v>359</v>
      </c>
      <c r="B527" s="7" t="s">
        <v>360</v>
      </c>
      <c r="C527" s="7" t="s">
        <v>361</v>
      </c>
      <c r="D527" s="7" t="s">
        <v>1422</v>
      </c>
      <c r="E527" s="7" t="s">
        <v>258</v>
      </c>
      <c r="F527" s="7" t="s">
        <v>1423</v>
      </c>
    </row>
    <row r="528" customFormat="false" ht="15" hidden="false" customHeight="false" outlineLevel="0" collapsed="false">
      <c r="A528" s="7" t="s">
        <v>359</v>
      </c>
      <c r="B528" s="7" t="s">
        <v>360</v>
      </c>
      <c r="C528" s="7" t="s">
        <v>361</v>
      </c>
      <c r="D528" s="7" t="s">
        <v>1424</v>
      </c>
      <c r="E528" s="7" t="s">
        <v>303</v>
      </c>
      <c r="F528" s="7" t="s">
        <v>1425</v>
      </c>
    </row>
    <row r="529" customFormat="false" ht="15" hidden="false" customHeight="false" outlineLevel="0" collapsed="false">
      <c r="A529" s="7" t="s">
        <v>359</v>
      </c>
      <c r="B529" s="7" t="s">
        <v>360</v>
      </c>
      <c r="C529" s="7" t="s">
        <v>361</v>
      </c>
      <c r="D529" s="7" t="s">
        <v>1426</v>
      </c>
      <c r="E529" s="7" t="s">
        <v>59</v>
      </c>
      <c r="F529" s="7" t="s">
        <v>1427</v>
      </c>
    </row>
    <row r="530" customFormat="false" ht="15" hidden="false" customHeight="false" outlineLevel="0" collapsed="false">
      <c r="A530" s="7" t="s">
        <v>359</v>
      </c>
      <c r="B530" s="7" t="s">
        <v>360</v>
      </c>
      <c r="C530" s="7" t="s">
        <v>361</v>
      </c>
      <c r="D530" s="7" t="s">
        <v>1428</v>
      </c>
      <c r="E530" s="7" t="s">
        <v>185</v>
      </c>
      <c r="F530" s="7" t="s">
        <v>1429</v>
      </c>
    </row>
    <row r="531" customFormat="false" ht="15" hidden="false" customHeight="false" outlineLevel="0" collapsed="false">
      <c r="A531" s="7" t="s">
        <v>359</v>
      </c>
      <c r="B531" s="7" t="s">
        <v>360</v>
      </c>
      <c r="C531" s="7" t="s">
        <v>361</v>
      </c>
      <c r="D531" s="7" t="s">
        <v>1430</v>
      </c>
      <c r="E531" s="7" t="s">
        <v>59</v>
      </c>
      <c r="F531" s="7" t="s">
        <v>1431</v>
      </c>
    </row>
    <row r="532" customFormat="false" ht="15" hidden="false" customHeight="false" outlineLevel="0" collapsed="false">
      <c r="A532" s="7" t="s">
        <v>359</v>
      </c>
      <c r="B532" s="7" t="s">
        <v>360</v>
      </c>
      <c r="C532" s="7" t="s">
        <v>361</v>
      </c>
      <c r="D532" s="7" t="s">
        <v>1432</v>
      </c>
      <c r="E532" s="7" t="s">
        <v>130</v>
      </c>
      <c r="F532" s="7" t="s">
        <v>1433</v>
      </c>
    </row>
    <row r="533" customFormat="false" ht="15" hidden="false" customHeight="false" outlineLevel="0" collapsed="false">
      <c r="A533" s="7" t="s">
        <v>359</v>
      </c>
      <c r="B533" s="7" t="s">
        <v>360</v>
      </c>
      <c r="C533" s="7" t="s">
        <v>361</v>
      </c>
      <c r="D533" s="7" t="s">
        <v>1434</v>
      </c>
      <c r="E533" s="7" t="s">
        <v>118</v>
      </c>
      <c r="F533" s="7" t="s">
        <v>1435</v>
      </c>
    </row>
    <row r="534" customFormat="false" ht="15" hidden="false" customHeight="false" outlineLevel="0" collapsed="false">
      <c r="A534" s="7" t="s">
        <v>359</v>
      </c>
      <c r="B534" s="7" t="s">
        <v>360</v>
      </c>
      <c r="C534" s="7" t="s">
        <v>361</v>
      </c>
      <c r="D534" s="7" t="s">
        <v>1436</v>
      </c>
      <c r="E534" s="7" t="s">
        <v>279</v>
      </c>
      <c r="F534" s="7" t="s">
        <v>1437</v>
      </c>
    </row>
    <row r="535" customFormat="false" ht="15" hidden="false" customHeight="false" outlineLevel="0" collapsed="false">
      <c r="A535" s="7" t="s">
        <v>359</v>
      </c>
      <c r="B535" s="7" t="s">
        <v>360</v>
      </c>
      <c r="C535" s="7" t="s">
        <v>361</v>
      </c>
      <c r="D535" s="7" t="s">
        <v>1438</v>
      </c>
      <c r="E535" s="7" t="s">
        <v>271</v>
      </c>
      <c r="F535" s="7" t="s">
        <v>1439</v>
      </c>
    </row>
    <row r="536" customFormat="false" ht="15" hidden="false" customHeight="false" outlineLevel="0" collapsed="false">
      <c r="A536" s="7" t="s">
        <v>359</v>
      </c>
      <c r="B536" s="7" t="s">
        <v>360</v>
      </c>
      <c r="C536" s="7" t="s">
        <v>361</v>
      </c>
      <c r="D536" s="7" t="s">
        <v>1440</v>
      </c>
      <c r="E536" s="7" t="s">
        <v>338</v>
      </c>
      <c r="F536" s="7" t="s">
        <v>1441</v>
      </c>
    </row>
    <row r="537" customFormat="false" ht="15" hidden="false" customHeight="false" outlineLevel="0" collapsed="false">
      <c r="A537" s="7" t="s">
        <v>359</v>
      </c>
      <c r="B537" s="7" t="s">
        <v>360</v>
      </c>
      <c r="C537" s="7" t="s">
        <v>361</v>
      </c>
      <c r="D537" s="7" t="s">
        <v>1442</v>
      </c>
      <c r="E537" s="7" t="s">
        <v>173</v>
      </c>
      <c r="F537" s="7" t="s">
        <v>1443</v>
      </c>
    </row>
    <row r="538" customFormat="false" ht="15" hidden="false" customHeight="false" outlineLevel="0" collapsed="false">
      <c r="A538" s="7" t="s">
        <v>359</v>
      </c>
      <c r="B538" s="7" t="s">
        <v>360</v>
      </c>
      <c r="C538" s="7" t="s">
        <v>361</v>
      </c>
      <c r="D538" s="7" t="s">
        <v>1444</v>
      </c>
      <c r="E538" s="7" t="s">
        <v>277</v>
      </c>
      <c r="F538" s="7" t="s">
        <v>1445</v>
      </c>
    </row>
    <row r="539" customFormat="false" ht="15" hidden="false" customHeight="false" outlineLevel="0" collapsed="false">
      <c r="A539" s="7" t="s">
        <v>359</v>
      </c>
      <c r="B539" s="7" t="s">
        <v>360</v>
      </c>
      <c r="C539" s="7" t="s">
        <v>361</v>
      </c>
      <c r="D539" s="7" t="s">
        <v>1446</v>
      </c>
      <c r="E539" s="7" t="s">
        <v>238</v>
      </c>
      <c r="F539" s="7" t="s">
        <v>1447</v>
      </c>
    </row>
    <row r="540" customFormat="false" ht="15" hidden="false" customHeight="false" outlineLevel="0" collapsed="false">
      <c r="A540" s="7" t="s">
        <v>359</v>
      </c>
      <c r="B540" s="7" t="s">
        <v>360</v>
      </c>
      <c r="C540" s="7" t="s">
        <v>361</v>
      </c>
      <c r="D540" s="7" t="s">
        <v>1448</v>
      </c>
      <c r="E540" s="7" t="s">
        <v>340</v>
      </c>
      <c r="F540" s="7" t="s">
        <v>1449</v>
      </c>
    </row>
    <row r="541" customFormat="false" ht="15" hidden="false" customHeight="false" outlineLevel="0" collapsed="false">
      <c r="A541" s="7" t="s">
        <v>359</v>
      </c>
      <c r="B541" s="7" t="s">
        <v>360</v>
      </c>
      <c r="C541" s="7" t="s">
        <v>361</v>
      </c>
      <c r="D541" s="7" t="s">
        <v>1450</v>
      </c>
      <c r="E541" s="7" t="s">
        <v>275</v>
      </c>
      <c r="F541" s="7" t="s">
        <v>1451</v>
      </c>
    </row>
    <row r="542" customFormat="false" ht="15" hidden="false" customHeight="false" outlineLevel="0" collapsed="false">
      <c r="A542" s="7" t="s">
        <v>359</v>
      </c>
      <c r="B542" s="7" t="s">
        <v>360</v>
      </c>
      <c r="C542" s="7" t="s">
        <v>361</v>
      </c>
      <c r="D542" s="7" t="s">
        <v>1452</v>
      </c>
      <c r="E542" s="7" t="s">
        <v>344</v>
      </c>
      <c r="F542" s="7" t="s">
        <v>1453</v>
      </c>
    </row>
    <row r="543" customFormat="false" ht="15" hidden="false" customHeight="false" outlineLevel="0" collapsed="false">
      <c r="A543" s="7" t="s">
        <v>359</v>
      </c>
      <c r="B543" s="7" t="s">
        <v>360</v>
      </c>
      <c r="C543" s="7" t="s">
        <v>361</v>
      </c>
      <c r="D543" s="7" t="s">
        <v>1454</v>
      </c>
      <c r="E543" s="7" t="s">
        <v>169</v>
      </c>
      <c r="F543" s="7" t="s">
        <v>1455</v>
      </c>
    </row>
    <row r="544" customFormat="false" ht="15" hidden="false" customHeight="false" outlineLevel="0" collapsed="false">
      <c r="A544" s="7" t="s">
        <v>359</v>
      </c>
      <c r="B544" s="7" t="s">
        <v>360</v>
      </c>
      <c r="C544" s="7" t="s">
        <v>361</v>
      </c>
      <c r="D544" s="7" t="s">
        <v>1456</v>
      </c>
      <c r="E544" s="7" t="s">
        <v>330</v>
      </c>
      <c r="F544" s="7" t="s">
        <v>1457</v>
      </c>
    </row>
    <row r="545" customFormat="false" ht="15" hidden="false" customHeight="false" outlineLevel="0" collapsed="false">
      <c r="A545" s="7" t="s">
        <v>359</v>
      </c>
      <c r="B545" s="7" t="s">
        <v>360</v>
      </c>
      <c r="C545" s="7" t="s">
        <v>361</v>
      </c>
      <c r="D545" s="7" t="s">
        <v>1458</v>
      </c>
      <c r="E545" s="7" t="s">
        <v>181</v>
      </c>
      <c r="F545" s="7" t="s">
        <v>1459</v>
      </c>
    </row>
    <row r="546" customFormat="false" ht="15" hidden="false" customHeight="false" outlineLevel="0" collapsed="false">
      <c r="A546" s="7" t="s">
        <v>359</v>
      </c>
      <c r="B546" s="7" t="s">
        <v>360</v>
      </c>
      <c r="C546" s="7" t="s">
        <v>361</v>
      </c>
      <c r="D546" s="7" t="s">
        <v>1460</v>
      </c>
      <c r="E546" s="7" t="s">
        <v>260</v>
      </c>
      <c r="F546" s="7" t="s">
        <v>1461</v>
      </c>
    </row>
    <row r="547" customFormat="false" ht="15" hidden="false" customHeight="false" outlineLevel="0" collapsed="false">
      <c r="A547" s="7" t="s">
        <v>359</v>
      </c>
      <c r="B547" s="7" t="s">
        <v>360</v>
      </c>
      <c r="C547" s="7" t="s">
        <v>361</v>
      </c>
      <c r="D547" s="7" t="s">
        <v>1462</v>
      </c>
      <c r="E547" s="7" t="s">
        <v>144</v>
      </c>
      <c r="F547" s="7" t="s">
        <v>1463</v>
      </c>
    </row>
    <row r="548" customFormat="false" ht="15" hidden="false" customHeight="false" outlineLevel="0" collapsed="false">
      <c r="A548" s="7" t="s">
        <v>359</v>
      </c>
      <c r="B548" s="7" t="s">
        <v>360</v>
      </c>
      <c r="C548" s="7" t="s">
        <v>361</v>
      </c>
      <c r="D548" s="7" t="s">
        <v>1464</v>
      </c>
      <c r="E548" s="7" t="s">
        <v>138</v>
      </c>
      <c r="F548" s="7" t="s">
        <v>1465</v>
      </c>
    </row>
    <row r="549" customFormat="false" ht="15" hidden="false" customHeight="false" outlineLevel="0" collapsed="false">
      <c r="A549" s="7" t="s">
        <v>359</v>
      </c>
      <c r="B549" s="7" t="s">
        <v>360</v>
      </c>
      <c r="C549" s="7" t="s">
        <v>361</v>
      </c>
      <c r="D549" s="7" t="s">
        <v>1466</v>
      </c>
      <c r="E549" s="7" t="s">
        <v>49</v>
      </c>
      <c r="F549" s="7" t="s">
        <v>1467</v>
      </c>
    </row>
    <row r="550" customFormat="false" ht="15" hidden="false" customHeight="false" outlineLevel="0" collapsed="false">
      <c r="A550" s="7" t="s">
        <v>359</v>
      </c>
      <c r="B550" s="7" t="s">
        <v>360</v>
      </c>
      <c r="C550" s="7" t="s">
        <v>361</v>
      </c>
      <c r="D550" s="7" t="s">
        <v>1468</v>
      </c>
      <c r="E550" s="7" t="s">
        <v>229</v>
      </c>
      <c r="F550" s="7" t="s">
        <v>1469</v>
      </c>
    </row>
    <row r="551" customFormat="false" ht="15" hidden="false" customHeight="false" outlineLevel="0" collapsed="false">
      <c r="A551" s="7" t="s">
        <v>359</v>
      </c>
      <c r="B551" s="7" t="s">
        <v>360</v>
      </c>
      <c r="C551" s="7" t="s">
        <v>361</v>
      </c>
      <c r="D551" s="7" t="s">
        <v>1470</v>
      </c>
      <c r="E551" s="7" t="s">
        <v>146</v>
      </c>
      <c r="F551" s="7" t="s">
        <v>1471</v>
      </c>
    </row>
    <row r="552" customFormat="false" ht="15" hidden="false" customHeight="false" outlineLevel="0" collapsed="false">
      <c r="A552" s="7" t="s">
        <v>359</v>
      </c>
      <c r="B552" s="7" t="s">
        <v>360</v>
      </c>
      <c r="C552" s="7" t="s">
        <v>361</v>
      </c>
      <c r="D552" s="7" t="s">
        <v>1472</v>
      </c>
      <c r="E552" s="7" t="s">
        <v>167</v>
      </c>
      <c r="F552" s="7" t="s">
        <v>1473</v>
      </c>
    </row>
    <row r="553" customFormat="false" ht="15" hidden="false" customHeight="false" outlineLevel="0" collapsed="false">
      <c r="A553" s="7" t="s">
        <v>359</v>
      </c>
      <c r="B553" s="7" t="s">
        <v>360</v>
      </c>
      <c r="C553" s="7" t="s">
        <v>361</v>
      </c>
      <c r="D553" s="7" t="s">
        <v>1474</v>
      </c>
      <c r="E553" s="7" t="s">
        <v>233</v>
      </c>
      <c r="F553" s="7" t="s">
        <v>1475</v>
      </c>
    </row>
    <row r="554" customFormat="false" ht="15" hidden="false" customHeight="false" outlineLevel="0" collapsed="false">
      <c r="A554" s="7" t="s">
        <v>359</v>
      </c>
      <c r="B554" s="7" t="s">
        <v>360</v>
      </c>
      <c r="C554" s="7" t="s">
        <v>361</v>
      </c>
      <c r="D554" s="7" t="s">
        <v>1476</v>
      </c>
      <c r="E554" s="7" t="s">
        <v>305</v>
      </c>
      <c r="F554" s="7" t="s">
        <v>1477</v>
      </c>
    </row>
    <row r="555" customFormat="false" ht="15" hidden="false" customHeight="false" outlineLevel="0" collapsed="false">
      <c r="A555" s="7" t="s">
        <v>359</v>
      </c>
      <c r="B555" s="7" t="s">
        <v>360</v>
      </c>
      <c r="C555" s="7" t="s">
        <v>361</v>
      </c>
      <c r="D555" s="7" t="s">
        <v>1478</v>
      </c>
      <c r="E555" s="7" t="s">
        <v>175</v>
      </c>
      <c r="F555" s="7" t="s">
        <v>1479</v>
      </c>
    </row>
    <row r="556" customFormat="false" ht="15" hidden="false" customHeight="false" outlineLevel="0" collapsed="false">
      <c r="A556" s="7" t="s">
        <v>359</v>
      </c>
      <c r="B556" s="7" t="s">
        <v>360</v>
      </c>
      <c r="C556" s="7" t="s">
        <v>361</v>
      </c>
      <c r="D556" s="7" t="s">
        <v>1480</v>
      </c>
      <c r="E556" s="7" t="s">
        <v>102</v>
      </c>
      <c r="F556" s="7" t="s">
        <v>1481</v>
      </c>
    </row>
    <row r="557" customFormat="false" ht="15" hidden="false" customHeight="false" outlineLevel="0" collapsed="false">
      <c r="A557" s="7" t="s">
        <v>359</v>
      </c>
      <c r="B557" s="7" t="s">
        <v>360</v>
      </c>
      <c r="C557" s="7" t="s">
        <v>361</v>
      </c>
      <c r="D557" s="7" t="s">
        <v>1482</v>
      </c>
      <c r="E557" s="7" t="s">
        <v>31</v>
      </c>
      <c r="F557" s="7" t="s">
        <v>1483</v>
      </c>
    </row>
    <row r="558" customFormat="false" ht="15" hidden="false" customHeight="false" outlineLevel="0" collapsed="false">
      <c r="A558" s="7" t="s">
        <v>359</v>
      </c>
      <c r="B558" s="7" t="s">
        <v>360</v>
      </c>
      <c r="C558" s="7" t="s">
        <v>361</v>
      </c>
      <c r="D558" s="7" t="s">
        <v>1484</v>
      </c>
      <c r="E558" s="7" t="s">
        <v>178</v>
      </c>
      <c r="F558" s="7" t="s">
        <v>1485</v>
      </c>
    </row>
    <row r="559" customFormat="false" ht="15" hidden="false" customHeight="false" outlineLevel="0" collapsed="false">
      <c r="A559" s="7" t="s">
        <v>359</v>
      </c>
      <c r="B559" s="7" t="s">
        <v>360</v>
      </c>
      <c r="C559" s="7" t="s">
        <v>361</v>
      </c>
      <c r="D559" s="7" t="s">
        <v>1486</v>
      </c>
      <c r="E559" s="7" t="s">
        <v>233</v>
      </c>
      <c r="F559" s="7" t="s">
        <v>1487</v>
      </c>
    </row>
    <row r="560" customFormat="false" ht="15" hidden="false" customHeight="false" outlineLevel="0" collapsed="false">
      <c r="A560" s="7" t="s">
        <v>359</v>
      </c>
      <c r="B560" s="7" t="s">
        <v>360</v>
      </c>
      <c r="C560" s="7" t="s">
        <v>361</v>
      </c>
      <c r="D560" s="7" t="s">
        <v>1488</v>
      </c>
      <c r="E560" s="7" t="s">
        <v>118</v>
      </c>
      <c r="F560" s="7" t="s">
        <v>1489</v>
      </c>
    </row>
    <row r="561" customFormat="false" ht="15" hidden="false" customHeight="false" outlineLevel="0" collapsed="false">
      <c r="A561" s="7" t="s">
        <v>359</v>
      </c>
      <c r="B561" s="7" t="s">
        <v>360</v>
      </c>
      <c r="C561" s="7" t="s">
        <v>361</v>
      </c>
      <c r="D561" s="7" t="s">
        <v>1490</v>
      </c>
      <c r="E561" s="7" t="s">
        <v>96</v>
      </c>
      <c r="F561" s="7" t="s">
        <v>1491</v>
      </c>
    </row>
    <row r="562" customFormat="false" ht="15" hidden="false" customHeight="false" outlineLevel="0" collapsed="false">
      <c r="A562" s="7" t="s">
        <v>359</v>
      </c>
      <c r="B562" s="7" t="s">
        <v>360</v>
      </c>
      <c r="C562" s="7" t="s">
        <v>361</v>
      </c>
      <c r="D562" s="7" t="s">
        <v>1492</v>
      </c>
      <c r="E562" s="7" t="s">
        <v>243</v>
      </c>
      <c r="F562" s="7" t="s">
        <v>1493</v>
      </c>
    </row>
    <row r="563" customFormat="false" ht="15" hidden="false" customHeight="false" outlineLevel="0" collapsed="false">
      <c r="A563" s="7" t="s">
        <v>359</v>
      </c>
      <c r="B563" s="7" t="s">
        <v>360</v>
      </c>
      <c r="C563" s="7" t="s">
        <v>361</v>
      </c>
      <c r="D563" s="7" t="s">
        <v>1494</v>
      </c>
      <c r="E563" s="7" t="s">
        <v>281</v>
      </c>
      <c r="F563" s="7" t="s">
        <v>1495</v>
      </c>
    </row>
    <row r="564" customFormat="false" ht="15" hidden="false" customHeight="false" outlineLevel="0" collapsed="false">
      <c r="A564" s="7" t="s">
        <v>359</v>
      </c>
      <c r="B564" s="7" t="s">
        <v>360</v>
      </c>
      <c r="C564" s="7" t="s">
        <v>361</v>
      </c>
      <c r="D564" s="7" t="s">
        <v>1496</v>
      </c>
      <c r="E564" s="7" t="s">
        <v>186</v>
      </c>
      <c r="F564" s="7" t="s">
        <v>1497</v>
      </c>
    </row>
    <row r="565" customFormat="false" ht="15" hidden="false" customHeight="false" outlineLevel="0" collapsed="false">
      <c r="A565" s="7" t="s">
        <v>359</v>
      </c>
      <c r="B565" s="7" t="s">
        <v>360</v>
      </c>
      <c r="C565" s="7" t="s">
        <v>361</v>
      </c>
      <c r="D565" s="7" t="s">
        <v>1498</v>
      </c>
      <c r="E565" s="7" t="s">
        <v>254</v>
      </c>
      <c r="F565" s="7" t="s">
        <v>1499</v>
      </c>
    </row>
    <row r="566" customFormat="false" ht="15" hidden="false" customHeight="false" outlineLevel="0" collapsed="false">
      <c r="A566" s="7" t="s">
        <v>359</v>
      </c>
      <c r="B566" s="7" t="s">
        <v>360</v>
      </c>
      <c r="C566" s="7" t="s">
        <v>361</v>
      </c>
      <c r="D566" s="7" t="s">
        <v>1500</v>
      </c>
      <c r="E566" s="7" t="s">
        <v>294</v>
      </c>
      <c r="F566" s="7" t="s">
        <v>1501</v>
      </c>
    </row>
    <row r="567" customFormat="false" ht="15" hidden="false" customHeight="false" outlineLevel="0" collapsed="false">
      <c r="A567" s="7" t="s">
        <v>359</v>
      </c>
      <c r="B567" s="7" t="s">
        <v>360</v>
      </c>
      <c r="C567" s="7" t="s">
        <v>361</v>
      </c>
      <c r="D567" s="7" t="s">
        <v>1502</v>
      </c>
      <c r="E567" s="7" t="s">
        <v>301</v>
      </c>
      <c r="F567" s="7" t="s">
        <v>1503</v>
      </c>
    </row>
    <row r="568" customFormat="false" ht="15" hidden="false" customHeight="false" outlineLevel="0" collapsed="false">
      <c r="A568" s="7" t="s">
        <v>359</v>
      </c>
      <c r="B568" s="7" t="s">
        <v>360</v>
      </c>
      <c r="C568" s="7" t="s">
        <v>361</v>
      </c>
      <c r="D568" s="7" t="s">
        <v>1504</v>
      </c>
      <c r="E568" s="7" t="s">
        <v>289</v>
      </c>
      <c r="F568" s="7" t="s">
        <v>1505</v>
      </c>
    </row>
    <row r="569" customFormat="false" ht="15" hidden="false" customHeight="false" outlineLevel="0" collapsed="false">
      <c r="A569" s="7" t="s">
        <v>359</v>
      </c>
      <c r="B569" s="7" t="s">
        <v>360</v>
      </c>
      <c r="C569" s="7" t="s">
        <v>361</v>
      </c>
      <c r="D569" s="7" t="s">
        <v>1506</v>
      </c>
      <c r="E569" s="7" t="s">
        <v>275</v>
      </c>
      <c r="F569" s="7" t="s">
        <v>1507</v>
      </c>
    </row>
    <row r="570" customFormat="false" ht="15" hidden="false" customHeight="false" outlineLevel="0" collapsed="false">
      <c r="A570" s="7" t="s">
        <v>359</v>
      </c>
      <c r="B570" s="7" t="s">
        <v>360</v>
      </c>
      <c r="C570" s="7" t="s">
        <v>361</v>
      </c>
      <c r="D570" s="7" t="s">
        <v>1508</v>
      </c>
      <c r="E570" s="7" t="s">
        <v>193</v>
      </c>
      <c r="F570" s="7" t="s">
        <v>1509</v>
      </c>
    </row>
    <row r="571" customFormat="false" ht="15" hidden="false" customHeight="false" outlineLevel="0" collapsed="false">
      <c r="A571" s="7" t="s">
        <v>359</v>
      </c>
      <c r="B571" s="7" t="s">
        <v>360</v>
      </c>
      <c r="C571" s="7" t="s">
        <v>361</v>
      </c>
      <c r="D571" s="7" t="s">
        <v>1510</v>
      </c>
      <c r="E571" s="7" t="s">
        <v>214</v>
      </c>
      <c r="F571" s="7" t="s">
        <v>1511</v>
      </c>
    </row>
    <row r="572" customFormat="false" ht="15" hidden="false" customHeight="false" outlineLevel="0" collapsed="false">
      <c r="A572" s="7" t="s">
        <v>359</v>
      </c>
      <c r="B572" s="7" t="s">
        <v>360</v>
      </c>
      <c r="C572" s="7" t="s">
        <v>361</v>
      </c>
      <c r="D572" s="7" t="s">
        <v>1512</v>
      </c>
      <c r="E572" s="7" t="s">
        <v>340</v>
      </c>
      <c r="F572" s="7" t="s">
        <v>1513</v>
      </c>
    </row>
    <row r="573" customFormat="false" ht="15" hidden="false" customHeight="false" outlineLevel="0" collapsed="false">
      <c r="A573" s="7" t="s">
        <v>359</v>
      </c>
      <c r="B573" s="7" t="s">
        <v>360</v>
      </c>
      <c r="C573" s="7" t="s">
        <v>361</v>
      </c>
      <c r="D573" s="7" t="s">
        <v>1514</v>
      </c>
      <c r="E573" s="7" t="s">
        <v>197</v>
      </c>
      <c r="F573" s="7" t="s">
        <v>1515</v>
      </c>
    </row>
    <row r="574" customFormat="false" ht="15" hidden="false" customHeight="false" outlineLevel="0" collapsed="false">
      <c r="A574" s="7" t="s">
        <v>359</v>
      </c>
      <c r="B574" s="7" t="s">
        <v>360</v>
      </c>
      <c r="C574" s="7" t="s">
        <v>361</v>
      </c>
      <c r="D574" s="7" t="s">
        <v>1516</v>
      </c>
      <c r="E574" s="7" t="s">
        <v>302</v>
      </c>
      <c r="F574" s="7" t="s">
        <v>1517</v>
      </c>
    </row>
    <row r="575" customFormat="false" ht="15" hidden="false" customHeight="false" outlineLevel="0" collapsed="false">
      <c r="A575" s="7" t="s">
        <v>359</v>
      </c>
      <c r="B575" s="7" t="s">
        <v>360</v>
      </c>
      <c r="C575" s="7" t="s">
        <v>361</v>
      </c>
      <c r="D575" s="7" t="s">
        <v>1518</v>
      </c>
      <c r="E575" s="7" t="s">
        <v>250</v>
      </c>
      <c r="F575" s="7" t="s">
        <v>1519</v>
      </c>
    </row>
    <row r="576" customFormat="false" ht="15" hidden="false" customHeight="false" outlineLevel="0" collapsed="false">
      <c r="A576" s="7" t="s">
        <v>359</v>
      </c>
      <c r="B576" s="7" t="s">
        <v>360</v>
      </c>
      <c r="C576" s="7" t="s">
        <v>361</v>
      </c>
      <c r="D576" s="7" t="s">
        <v>1520</v>
      </c>
      <c r="E576" s="7" t="s">
        <v>63</v>
      </c>
      <c r="F576" s="7" t="s">
        <v>1521</v>
      </c>
    </row>
    <row r="577" customFormat="false" ht="15" hidden="false" customHeight="false" outlineLevel="0" collapsed="false">
      <c r="A577" s="7" t="s">
        <v>359</v>
      </c>
      <c r="B577" s="7" t="s">
        <v>360</v>
      </c>
      <c r="C577" s="7" t="s">
        <v>361</v>
      </c>
      <c r="D577" s="7" t="s">
        <v>1522</v>
      </c>
      <c r="E577" s="7" t="s">
        <v>177</v>
      </c>
      <c r="F577" s="7" t="s">
        <v>1523</v>
      </c>
    </row>
    <row r="578" customFormat="false" ht="15" hidden="false" customHeight="false" outlineLevel="0" collapsed="false">
      <c r="A578" s="7" t="s">
        <v>359</v>
      </c>
      <c r="B578" s="7" t="s">
        <v>360</v>
      </c>
      <c r="C578" s="7" t="s">
        <v>361</v>
      </c>
      <c r="D578" s="7" t="s">
        <v>1524</v>
      </c>
      <c r="E578" s="7" t="s">
        <v>287</v>
      </c>
      <c r="F578" s="7" t="s">
        <v>1525</v>
      </c>
    </row>
    <row r="579" customFormat="false" ht="15" hidden="false" customHeight="false" outlineLevel="0" collapsed="false">
      <c r="A579" s="7" t="s">
        <v>359</v>
      </c>
      <c r="B579" s="7" t="s">
        <v>360</v>
      </c>
      <c r="C579" s="7" t="s">
        <v>361</v>
      </c>
      <c r="D579" s="7" t="s">
        <v>1526</v>
      </c>
      <c r="E579" s="7" t="s">
        <v>287</v>
      </c>
      <c r="F579" s="7" t="s">
        <v>1527</v>
      </c>
    </row>
    <row r="580" customFormat="false" ht="15" hidden="false" customHeight="false" outlineLevel="0" collapsed="false">
      <c r="A580" s="7" t="s">
        <v>359</v>
      </c>
      <c r="B580" s="7" t="s">
        <v>360</v>
      </c>
      <c r="C580" s="7" t="s">
        <v>361</v>
      </c>
      <c r="D580" s="7" t="s">
        <v>1528</v>
      </c>
      <c r="E580" s="7" t="s">
        <v>67</v>
      </c>
      <c r="F580" s="7" t="s">
        <v>1529</v>
      </c>
    </row>
    <row r="581" customFormat="false" ht="15" hidden="false" customHeight="false" outlineLevel="0" collapsed="false">
      <c r="A581" s="7" t="s">
        <v>359</v>
      </c>
      <c r="B581" s="7" t="s">
        <v>360</v>
      </c>
      <c r="C581" s="7" t="s">
        <v>361</v>
      </c>
      <c r="D581" s="7" t="s">
        <v>1530</v>
      </c>
      <c r="E581" s="7" t="s">
        <v>254</v>
      </c>
      <c r="F581" s="7" t="s">
        <v>1531</v>
      </c>
    </row>
    <row r="582" customFormat="false" ht="15" hidden="false" customHeight="false" outlineLevel="0" collapsed="false">
      <c r="A582" s="7" t="s">
        <v>359</v>
      </c>
      <c r="B582" s="7" t="s">
        <v>360</v>
      </c>
      <c r="C582" s="7" t="s">
        <v>361</v>
      </c>
      <c r="D582" s="7" t="s">
        <v>1532</v>
      </c>
      <c r="E582" s="7" t="s">
        <v>102</v>
      </c>
      <c r="F582" s="7" t="s">
        <v>1533</v>
      </c>
    </row>
    <row r="583" customFormat="false" ht="15" hidden="false" customHeight="false" outlineLevel="0" collapsed="false">
      <c r="A583" s="7" t="s">
        <v>359</v>
      </c>
      <c r="B583" s="7" t="s">
        <v>360</v>
      </c>
      <c r="C583" s="7" t="s">
        <v>361</v>
      </c>
      <c r="D583" s="7" t="s">
        <v>1534</v>
      </c>
      <c r="E583" s="7" t="s">
        <v>349</v>
      </c>
      <c r="F583" s="7" t="s">
        <v>1535</v>
      </c>
    </row>
    <row r="584" customFormat="false" ht="15" hidden="false" customHeight="false" outlineLevel="0" collapsed="false">
      <c r="A584" s="7" t="s">
        <v>359</v>
      </c>
      <c r="B584" s="7" t="s">
        <v>360</v>
      </c>
      <c r="C584" s="7" t="s">
        <v>361</v>
      </c>
      <c r="D584" s="7" t="s">
        <v>1536</v>
      </c>
      <c r="E584" s="7" t="s">
        <v>65</v>
      </c>
      <c r="F584" s="7" t="s">
        <v>1537</v>
      </c>
    </row>
    <row r="585" customFormat="false" ht="15" hidden="false" customHeight="false" outlineLevel="0" collapsed="false">
      <c r="A585" s="7" t="s">
        <v>359</v>
      </c>
      <c r="B585" s="7" t="s">
        <v>360</v>
      </c>
      <c r="C585" s="7" t="s">
        <v>361</v>
      </c>
      <c r="D585" s="7" t="s">
        <v>1538</v>
      </c>
      <c r="E585" s="7" t="s">
        <v>346</v>
      </c>
      <c r="F585" s="7" t="s">
        <v>1539</v>
      </c>
    </row>
    <row r="586" customFormat="false" ht="15" hidden="false" customHeight="false" outlineLevel="0" collapsed="false">
      <c r="A586" s="7" t="s">
        <v>359</v>
      </c>
      <c r="B586" s="7" t="s">
        <v>360</v>
      </c>
      <c r="C586" s="7" t="s">
        <v>361</v>
      </c>
      <c r="D586" s="7" t="s">
        <v>1540</v>
      </c>
      <c r="E586" s="7" t="s">
        <v>258</v>
      </c>
      <c r="F586" s="7" t="s">
        <v>1541</v>
      </c>
    </row>
    <row r="587" customFormat="false" ht="15" hidden="false" customHeight="false" outlineLevel="0" collapsed="false">
      <c r="A587" s="7" t="s">
        <v>359</v>
      </c>
      <c r="B587" s="7" t="s">
        <v>360</v>
      </c>
      <c r="C587" s="7" t="s">
        <v>361</v>
      </c>
      <c r="D587" s="7" t="s">
        <v>1542</v>
      </c>
      <c r="E587" s="7" t="s">
        <v>220</v>
      </c>
      <c r="F587" s="7" t="s">
        <v>1543</v>
      </c>
    </row>
    <row r="588" customFormat="false" ht="15" hidden="false" customHeight="false" outlineLevel="0" collapsed="false">
      <c r="A588" s="7" t="s">
        <v>359</v>
      </c>
      <c r="B588" s="7" t="s">
        <v>360</v>
      </c>
      <c r="C588" s="7" t="s">
        <v>361</v>
      </c>
      <c r="D588" s="7" t="s">
        <v>1544</v>
      </c>
      <c r="E588" s="7" t="s">
        <v>67</v>
      </c>
      <c r="F588" s="7" t="s">
        <v>1545</v>
      </c>
    </row>
    <row r="589" customFormat="false" ht="15" hidden="false" customHeight="false" outlineLevel="0" collapsed="false">
      <c r="A589" s="7" t="s">
        <v>359</v>
      </c>
      <c r="B589" s="7" t="s">
        <v>360</v>
      </c>
      <c r="C589" s="7" t="s">
        <v>361</v>
      </c>
      <c r="D589" s="7" t="s">
        <v>1546</v>
      </c>
      <c r="E589" s="7" t="s">
        <v>190</v>
      </c>
      <c r="F589" s="7" t="s">
        <v>1547</v>
      </c>
    </row>
    <row r="590" customFormat="false" ht="15" hidden="false" customHeight="false" outlineLevel="0" collapsed="false">
      <c r="A590" s="7" t="s">
        <v>359</v>
      </c>
      <c r="B590" s="7" t="s">
        <v>360</v>
      </c>
      <c r="C590" s="7" t="s">
        <v>361</v>
      </c>
      <c r="D590" s="7" t="s">
        <v>1548</v>
      </c>
      <c r="E590" s="7" t="s">
        <v>201</v>
      </c>
      <c r="F590" s="7" t="s">
        <v>1549</v>
      </c>
    </row>
    <row r="591" customFormat="false" ht="15" hidden="false" customHeight="false" outlineLevel="0" collapsed="false">
      <c r="A591" s="7" t="s">
        <v>359</v>
      </c>
      <c r="B591" s="7" t="s">
        <v>360</v>
      </c>
      <c r="C591" s="7" t="s">
        <v>361</v>
      </c>
      <c r="D591" s="7" t="s">
        <v>1550</v>
      </c>
      <c r="E591" s="7" t="s">
        <v>83</v>
      </c>
      <c r="F591" s="7" t="s">
        <v>1551</v>
      </c>
    </row>
    <row r="592" customFormat="false" ht="15" hidden="false" customHeight="false" outlineLevel="0" collapsed="false">
      <c r="A592" s="7" t="s">
        <v>359</v>
      </c>
      <c r="B592" s="7" t="s">
        <v>360</v>
      </c>
      <c r="C592" s="7" t="s">
        <v>361</v>
      </c>
      <c r="D592" s="7" t="s">
        <v>1552</v>
      </c>
      <c r="E592" s="7" t="s">
        <v>301</v>
      </c>
      <c r="F592" s="7" t="s">
        <v>1553</v>
      </c>
    </row>
    <row r="593" customFormat="false" ht="15" hidden="false" customHeight="false" outlineLevel="0" collapsed="false">
      <c r="A593" s="7" t="s">
        <v>359</v>
      </c>
      <c r="B593" s="7" t="s">
        <v>360</v>
      </c>
      <c r="C593" s="7" t="s">
        <v>361</v>
      </c>
      <c r="D593" s="7" t="s">
        <v>1554</v>
      </c>
      <c r="E593" s="7" t="s">
        <v>340</v>
      </c>
      <c r="F593" s="7" t="s">
        <v>1555</v>
      </c>
    </row>
    <row r="594" customFormat="false" ht="15" hidden="false" customHeight="false" outlineLevel="0" collapsed="false">
      <c r="A594" s="7" t="s">
        <v>359</v>
      </c>
      <c r="B594" s="7" t="s">
        <v>360</v>
      </c>
      <c r="C594" s="7" t="s">
        <v>361</v>
      </c>
      <c r="D594" s="7" t="s">
        <v>1556</v>
      </c>
      <c r="E594" s="7" t="s">
        <v>92</v>
      </c>
      <c r="F594" s="7" t="s">
        <v>1557</v>
      </c>
    </row>
    <row r="595" customFormat="false" ht="15" hidden="false" customHeight="false" outlineLevel="0" collapsed="false">
      <c r="A595" s="7" t="s">
        <v>359</v>
      </c>
      <c r="B595" s="7" t="s">
        <v>360</v>
      </c>
      <c r="C595" s="7" t="s">
        <v>361</v>
      </c>
      <c r="D595" s="7" t="s">
        <v>1558</v>
      </c>
      <c r="E595" s="7" t="s">
        <v>133</v>
      </c>
      <c r="F595" s="7" t="s">
        <v>1559</v>
      </c>
    </row>
    <row r="596" customFormat="false" ht="15" hidden="false" customHeight="false" outlineLevel="0" collapsed="false">
      <c r="A596" s="7" t="s">
        <v>359</v>
      </c>
      <c r="B596" s="7" t="s">
        <v>360</v>
      </c>
      <c r="C596" s="7" t="s">
        <v>361</v>
      </c>
      <c r="D596" s="7" t="s">
        <v>1560</v>
      </c>
      <c r="E596" s="7" t="s">
        <v>314</v>
      </c>
      <c r="F596" s="7" t="s">
        <v>1561</v>
      </c>
    </row>
    <row r="597" customFormat="false" ht="15" hidden="false" customHeight="false" outlineLevel="0" collapsed="false">
      <c r="A597" s="7" t="s">
        <v>359</v>
      </c>
      <c r="B597" s="7" t="s">
        <v>360</v>
      </c>
      <c r="C597" s="7" t="s">
        <v>361</v>
      </c>
      <c r="D597" s="7" t="s">
        <v>1562</v>
      </c>
      <c r="E597" s="7" t="s">
        <v>49</v>
      </c>
      <c r="F597" s="7" t="s">
        <v>1563</v>
      </c>
    </row>
    <row r="598" customFormat="false" ht="15" hidden="false" customHeight="false" outlineLevel="0" collapsed="false">
      <c r="A598" s="7" t="s">
        <v>359</v>
      </c>
      <c r="B598" s="7" t="s">
        <v>360</v>
      </c>
      <c r="C598" s="7" t="s">
        <v>361</v>
      </c>
      <c r="D598" s="7" t="s">
        <v>1564</v>
      </c>
      <c r="E598" s="7" t="s">
        <v>216</v>
      </c>
      <c r="F598" s="7" t="s">
        <v>1565</v>
      </c>
    </row>
    <row r="599" customFormat="false" ht="15" hidden="false" customHeight="false" outlineLevel="0" collapsed="false">
      <c r="A599" s="7" t="s">
        <v>359</v>
      </c>
      <c r="B599" s="7" t="s">
        <v>360</v>
      </c>
      <c r="C599" s="7" t="s">
        <v>361</v>
      </c>
      <c r="D599" s="7" t="s">
        <v>1566</v>
      </c>
      <c r="E599" s="7" t="s">
        <v>232</v>
      </c>
      <c r="F599" s="7" t="s">
        <v>1567</v>
      </c>
    </row>
    <row r="600" customFormat="false" ht="15" hidden="false" customHeight="false" outlineLevel="0" collapsed="false">
      <c r="A600" s="7" t="s">
        <v>359</v>
      </c>
      <c r="B600" s="7" t="s">
        <v>360</v>
      </c>
      <c r="C600" s="7" t="s">
        <v>361</v>
      </c>
      <c r="D600" s="7" t="s">
        <v>1568</v>
      </c>
      <c r="E600" s="7" t="s">
        <v>301</v>
      </c>
      <c r="F600" s="7" t="s">
        <v>1569</v>
      </c>
    </row>
    <row r="601" customFormat="false" ht="15" hidden="false" customHeight="false" outlineLevel="0" collapsed="false">
      <c r="A601" s="7" t="s">
        <v>359</v>
      </c>
      <c r="B601" s="7" t="s">
        <v>360</v>
      </c>
      <c r="C601" s="7" t="s">
        <v>361</v>
      </c>
      <c r="D601" s="7" t="s">
        <v>1570</v>
      </c>
      <c r="E601" s="7" t="s">
        <v>38</v>
      </c>
      <c r="F601" s="7" t="s">
        <v>1571</v>
      </c>
    </row>
    <row r="602" customFormat="false" ht="15" hidden="false" customHeight="false" outlineLevel="0" collapsed="false">
      <c r="A602" s="7" t="s">
        <v>359</v>
      </c>
      <c r="B602" s="7" t="s">
        <v>360</v>
      </c>
      <c r="C602" s="7" t="s">
        <v>361</v>
      </c>
      <c r="D602" s="7" t="s">
        <v>1572</v>
      </c>
      <c r="E602" s="7" t="s">
        <v>173</v>
      </c>
      <c r="F602" s="7" t="s">
        <v>1573</v>
      </c>
    </row>
    <row r="603" customFormat="false" ht="15" hidden="false" customHeight="false" outlineLevel="0" collapsed="false">
      <c r="A603" s="7" t="s">
        <v>359</v>
      </c>
      <c r="B603" s="7" t="s">
        <v>360</v>
      </c>
      <c r="C603" s="7" t="s">
        <v>361</v>
      </c>
      <c r="D603" s="7" t="s">
        <v>1574</v>
      </c>
      <c r="E603" s="7" t="s">
        <v>73</v>
      </c>
      <c r="F603" s="7" t="s">
        <v>1575</v>
      </c>
    </row>
    <row r="604" customFormat="false" ht="15" hidden="false" customHeight="false" outlineLevel="0" collapsed="false">
      <c r="A604" s="7" t="s">
        <v>359</v>
      </c>
      <c r="B604" s="7" t="s">
        <v>360</v>
      </c>
      <c r="C604" s="7" t="s">
        <v>361</v>
      </c>
      <c r="D604" s="7" t="s">
        <v>1576</v>
      </c>
      <c r="E604" s="7" t="s">
        <v>224</v>
      </c>
      <c r="F604" s="7" t="s">
        <v>1577</v>
      </c>
    </row>
    <row r="605" customFormat="false" ht="15" hidden="false" customHeight="false" outlineLevel="0" collapsed="false">
      <c r="A605" s="7" t="s">
        <v>359</v>
      </c>
      <c r="B605" s="7" t="s">
        <v>360</v>
      </c>
      <c r="C605" s="7" t="s">
        <v>361</v>
      </c>
      <c r="D605" s="7" t="s">
        <v>1578</v>
      </c>
      <c r="E605" s="7" t="s">
        <v>203</v>
      </c>
      <c r="F605" s="7" t="s">
        <v>1579</v>
      </c>
    </row>
    <row r="606" customFormat="false" ht="15" hidden="false" customHeight="false" outlineLevel="0" collapsed="false">
      <c r="A606" s="7" t="s">
        <v>359</v>
      </c>
      <c r="B606" s="7" t="s">
        <v>360</v>
      </c>
      <c r="C606" s="7" t="s">
        <v>361</v>
      </c>
      <c r="D606" s="7" t="s">
        <v>1580</v>
      </c>
      <c r="E606" s="7" t="s">
        <v>27</v>
      </c>
      <c r="F606" s="7" t="s">
        <v>1581</v>
      </c>
    </row>
    <row r="607" customFormat="false" ht="15" hidden="false" customHeight="false" outlineLevel="0" collapsed="false">
      <c r="A607" s="7" t="s">
        <v>359</v>
      </c>
      <c r="B607" s="7" t="s">
        <v>360</v>
      </c>
      <c r="C607" s="7" t="s">
        <v>361</v>
      </c>
      <c r="D607" s="7" t="s">
        <v>1582</v>
      </c>
      <c r="E607" s="7" t="s">
        <v>336</v>
      </c>
      <c r="F607" s="7" t="s">
        <v>1583</v>
      </c>
    </row>
    <row r="608" customFormat="false" ht="15" hidden="false" customHeight="false" outlineLevel="0" collapsed="false">
      <c r="A608" s="7" t="s">
        <v>359</v>
      </c>
      <c r="B608" s="7" t="s">
        <v>360</v>
      </c>
      <c r="C608" s="7" t="s">
        <v>361</v>
      </c>
      <c r="D608" s="7" t="s">
        <v>1584</v>
      </c>
      <c r="E608" s="7" t="s">
        <v>291</v>
      </c>
      <c r="F608" s="7" t="s">
        <v>1585</v>
      </c>
    </row>
    <row r="609" customFormat="false" ht="15" hidden="false" customHeight="false" outlineLevel="0" collapsed="false">
      <c r="A609" s="7" t="s">
        <v>359</v>
      </c>
      <c r="B609" s="7" t="s">
        <v>360</v>
      </c>
      <c r="C609" s="7" t="s">
        <v>361</v>
      </c>
      <c r="D609" s="7" t="s">
        <v>1586</v>
      </c>
      <c r="E609" s="7" t="s">
        <v>38</v>
      </c>
      <c r="F609" s="7" t="s">
        <v>1587</v>
      </c>
    </row>
    <row r="610" customFormat="false" ht="15" hidden="false" customHeight="false" outlineLevel="0" collapsed="false">
      <c r="A610" s="7" t="s">
        <v>359</v>
      </c>
      <c r="B610" s="7" t="s">
        <v>360</v>
      </c>
      <c r="C610" s="7" t="s">
        <v>361</v>
      </c>
      <c r="D610" s="7" t="s">
        <v>1588</v>
      </c>
      <c r="E610" s="7" t="s">
        <v>305</v>
      </c>
      <c r="F610" s="7" t="s">
        <v>1589</v>
      </c>
    </row>
    <row r="611" customFormat="false" ht="15" hidden="false" customHeight="false" outlineLevel="0" collapsed="false">
      <c r="A611" s="7" t="s">
        <v>359</v>
      </c>
      <c r="B611" s="7" t="s">
        <v>360</v>
      </c>
      <c r="C611" s="7" t="s">
        <v>361</v>
      </c>
      <c r="D611" s="7" t="s">
        <v>1590</v>
      </c>
      <c r="E611" s="7" t="s">
        <v>167</v>
      </c>
      <c r="F611" s="7" t="s">
        <v>1591</v>
      </c>
    </row>
    <row r="612" customFormat="false" ht="15" hidden="false" customHeight="false" outlineLevel="0" collapsed="false">
      <c r="A612" s="7" t="s">
        <v>359</v>
      </c>
      <c r="B612" s="7" t="s">
        <v>360</v>
      </c>
      <c r="C612" s="7" t="s">
        <v>361</v>
      </c>
      <c r="D612" s="7" t="s">
        <v>1592</v>
      </c>
      <c r="E612" s="7" t="s">
        <v>303</v>
      </c>
      <c r="F612" s="7" t="s">
        <v>1593</v>
      </c>
    </row>
    <row r="613" customFormat="false" ht="15" hidden="false" customHeight="false" outlineLevel="0" collapsed="false">
      <c r="A613" s="7" t="s">
        <v>359</v>
      </c>
      <c r="B613" s="7" t="s">
        <v>360</v>
      </c>
      <c r="C613" s="7" t="s">
        <v>361</v>
      </c>
      <c r="D613" s="7" t="s">
        <v>1594</v>
      </c>
      <c r="E613" s="7" t="s">
        <v>305</v>
      </c>
      <c r="F613" s="7" t="s">
        <v>1595</v>
      </c>
    </row>
    <row r="614" customFormat="false" ht="15" hidden="false" customHeight="false" outlineLevel="0" collapsed="false">
      <c r="A614" s="7" t="s">
        <v>359</v>
      </c>
      <c r="B614" s="7" t="s">
        <v>360</v>
      </c>
      <c r="C614" s="7" t="s">
        <v>361</v>
      </c>
      <c r="D614" s="7" t="s">
        <v>1596</v>
      </c>
      <c r="E614" s="7" t="s">
        <v>81</v>
      </c>
      <c r="F614" s="7" t="s">
        <v>1597</v>
      </c>
    </row>
    <row r="615" customFormat="false" ht="15" hidden="false" customHeight="false" outlineLevel="0" collapsed="false">
      <c r="A615" s="7" t="s">
        <v>359</v>
      </c>
      <c r="B615" s="7" t="s">
        <v>360</v>
      </c>
      <c r="C615" s="7" t="s">
        <v>361</v>
      </c>
      <c r="D615" s="7" t="s">
        <v>1598</v>
      </c>
      <c r="E615" s="7" t="s">
        <v>275</v>
      </c>
      <c r="F615" s="7" t="s">
        <v>1599</v>
      </c>
    </row>
    <row r="616" customFormat="false" ht="15" hidden="false" customHeight="false" outlineLevel="0" collapsed="false">
      <c r="A616" s="7" t="s">
        <v>359</v>
      </c>
      <c r="B616" s="7" t="s">
        <v>360</v>
      </c>
      <c r="C616" s="7" t="s">
        <v>361</v>
      </c>
      <c r="D616" s="7" t="s">
        <v>1600</v>
      </c>
      <c r="E616" s="7" t="s">
        <v>260</v>
      </c>
      <c r="F616" s="7" t="s">
        <v>1601</v>
      </c>
    </row>
    <row r="617" customFormat="false" ht="15" hidden="false" customHeight="false" outlineLevel="0" collapsed="false">
      <c r="A617" s="7" t="s">
        <v>359</v>
      </c>
      <c r="B617" s="7" t="s">
        <v>360</v>
      </c>
      <c r="C617" s="7" t="s">
        <v>361</v>
      </c>
      <c r="D617" s="7" t="s">
        <v>1602</v>
      </c>
      <c r="E617" s="7" t="s">
        <v>215</v>
      </c>
      <c r="F617" s="7" t="s">
        <v>1603</v>
      </c>
    </row>
    <row r="618" customFormat="false" ht="15" hidden="false" customHeight="false" outlineLevel="0" collapsed="false">
      <c r="A618" s="7" t="s">
        <v>359</v>
      </c>
      <c r="B618" s="7" t="s">
        <v>360</v>
      </c>
      <c r="C618" s="7" t="s">
        <v>361</v>
      </c>
      <c r="D618" s="7" t="s">
        <v>1604</v>
      </c>
      <c r="E618" s="7" t="s">
        <v>316</v>
      </c>
      <c r="F618" s="7" t="s">
        <v>1605</v>
      </c>
    </row>
    <row r="619" customFormat="false" ht="15" hidden="false" customHeight="false" outlineLevel="0" collapsed="false">
      <c r="A619" s="7" t="s">
        <v>359</v>
      </c>
      <c r="B619" s="7" t="s">
        <v>360</v>
      </c>
      <c r="C619" s="7" t="s">
        <v>361</v>
      </c>
      <c r="D619" s="7" t="s">
        <v>1606</v>
      </c>
      <c r="E619" s="7" t="s">
        <v>59</v>
      </c>
      <c r="F619" s="7" t="s">
        <v>1607</v>
      </c>
    </row>
    <row r="620" customFormat="false" ht="15" hidden="false" customHeight="false" outlineLevel="0" collapsed="false">
      <c r="A620" s="7" t="s">
        <v>359</v>
      </c>
      <c r="B620" s="7" t="s">
        <v>360</v>
      </c>
      <c r="C620" s="7" t="s">
        <v>361</v>
      </c>
      <c r="D620" s="7" t="s">
        <v>1608</v>
      </c>
      <c r="E620" s="7" t="s">
        <v>235</v>
      </c>
      <c r="F620" s="7" t="s">
        <v>1609</v>
      </c>
    </row>
    <row r="621" customFormat="false" ht="15" hidden="false" customHeight="false" outlineLevel="0" collapsed="false">
      <c r="A621" s="7" t="s">
        <v>359</v>
      </c>
      <c r="B621" s="7" t="s">
        <v>360</v>
      </c>
      <c r="C621" s="7" t="s">
        <v>361</v>
      </c>
      <c r="D621" s="7" t="s">
        <v>1610</v>
      </c>
      <c r="E621" s="7" t="s">
        <v>326</v>
      </c>
      <c r="F621" s="7" t="s">
        <v>1611</v>
      </c>
    </row>
    <row r="622" customFormat="false" ht="15" hidden="false" customHeight="false" outlineLevel="0" collapsed="false">
      <c r="A622" s="7" t="s">
        <v>359</v>
      </c>
      <c r="B622" s="7" t="s">
        <v>360</v>
      </c>
      <c r="C622" s="7" t="s">
        <v>361</v>
      </c>
      <c r="D622" s="7" t="s">
        <v>1612</v>
      </c>
      <c r="E622" s="7" t="s">
        <v>159</v>
      </c>
      <c r="F622" s="7" t="s">
        <v>1613</v>
      </c>
    </row>
    <row r="623" customFormat="false" ht="15" hidden="false" customHeight="false" outlineLevel="0" collapsed="false">
      <c r="A623" s="7" t="s">
        <v>359</v>
      </c>
      <c r="B623" s="7" t="s">
        <v>360</v>
      </c>
      <c r="C623" s="7" t="s">
        <v>361</v>
      </c>
      <c r="D623" s="7" t="s">
        <v>1614</v>
      </c>
      <c r="E623" s="7" t="s">
        <v>267</v>
      </c>
      <c r="F623" s="7" t="s">
        <v>1615</v>
      </c>
    </row>
    <row r="624" customFormat="false" ht="15" hidden="false" customHeight="false" outlineLevel="0" collapsed="false">
      <c r="A624" s="7" t="s">
        <v>359</v>
      </c>
      <c r="B624" s="7" t="s">
        <v>360</v>
      </c>
      <c r="C624" s="7" t="s">
        <v>361</v>
      </c>
      <c r="D624" s="7" t="s">
        <v>1616</v>
      </c>
      <c r="E624" s="7" t="s">
        <v>256</v>
      </c>
      <c r="F624" s="7" t="s">
        <v>1617</v>
      </c>
    </row>
    <row r="625" customFormat="false" ht="15" hidden="false" customHeight="false" outlineLevel="0" collapsed="false">
      <c r="A625" s="7" t="s">
        <v>359</v>
      </c>
      <c r="B625" s="7" t="s">
        <v>360</v>
      </c>
      <c r="C625" s="7" t="s">
        <v>361</v>
      </c>
      <c r="D625" s="7" t="s">
        <v>1618</v>
      </c>
      <c r="E625" s="7" t="s">
        <v>210</v>
      </c>
      <c r="F625" s="7" t="s">
        <v>1619</v>
      </c>
    </row>
    <row r="626" customFormat="false" ht="15" hidden="false" customHeight="false" outlineLevel="0" collapsed="false">
      <c r="A626" s="7" t="s">
        <v>359</v>
      </c>
      <c r="B626" s="7" t="s">
        <v>360</v>
      </c>
      <c r="C626" s="7" t="s">
        <v>361</v>
      </c>
      <c r="D626" s="7" t="s">
        <v>1620</v>
      </c>
      <c r="E626" s="7" t="s">
        <v>218</v>
      </c>
      <c r="F626" s="7" t="s">
        <v>1621</v>
      </c>
    </row>
    <row r="627" customFormat="false" ht="15" hidden="false" customHeight="false" outlineLevel="0" collapsed="false">
      <c r="A627" s="7" t="s">
        <v>359</v>
      </c>
      <c r="B627" s="7" t="s">
        <v>360</v>
      </c>
      <c r="C627" s="7" t="s">
        <v>361</v>
      </c>
      <c r="D627" s="7" t="s">
        <v>1622</v>
      </c>
      <c r="E627" s="7" t="s">
        <v>131</v>
      </c>
      <c r="F627" s="7" t="s">
        <v>1623</v>
      </c>
    </row>
    <row r="628" customFormat="false" ht="15" hidden="false" customHeight="false" outlineLevel="0" collapsed="false">
      <c r="A628" s="7" t="s">
        <v>359</v>
      </c>
      <c r="B628" s="7" t="s">
        <v>360</v>
      </c>
      <c r="C628" s="7" t="s">
        <v>361</v>
      </c>
      <c r="D628" s="7" t="s">
        <v>1624</v>
      </c>
      <c r="E628" s="7" t="s">
        <v>294</v>
      </c>
      <c r="F628" s="7" t="s">
        <v>1625</v>
      </c>
    </row>
    <row r="629" customFormat="false" ht="15" hidden="false" customHeight="false" outlineLevel="0" collapsed="false">
      <c r="A629" s="7" t="s">
        <v>359</v>
      </c>
      <c r="B629" s="7" t="s">
        <v>360</v>
      </c>
      <c r="C629" s="7" t="s">
        <v>361</v>
      </c>
      <c r="D629" s="7" t="s">
        <v>1626</v>
      </c>
      <c r="E629" s="7" t="s">
        <v>101</v>
      </c>
      <c r="F629" s="7" t="s">
        <v>1627</v>
      </c>
    </row>
    <row r="630" customFormat="false" ht="15" hidden="false" customHeight="false" outlineLevel="0" collapsed="false">
      <c r="A630" s="7" t="s">
        <v>359</v>
      </c>
      <c r="B630" s="7" t="s">
        <v>360</v>
      </c>
      <c r="C630" s="7" t="s">
        <v>361</v>
      </c>
      <c r="D630" s="7" t="s">
        <v>1628</v>
      </c>
      <c r="E630" s="7" t="s">
        <v>205</v>
      </c>
      <c r="F630" s="7" t="s">
        <v>1629</v>
      </c>
    </row>
    <row r="631" customFormat="false" ht="15" hidden="false" customHeight="false" outlineLevel="0" collapsed="false">
      <c r="A631" s="7" t="s">
        <v>359</v>
      </c>
      <c r="B631" s="7" t="s">
        <v>360</v>
      </c>
      <c r="C631" s="7" t="s">
        <v>361</v>
      </c>
      <c r="D631" s="7" t="s">
        <v>1630</v>
      </c>
      <c r="E631" s="7" t="s">
        <v>130</v>
      </c>
      <c r="F631" s="7" t="s">
        <v>1631</v>
      </c>
    </row>
    <row r="632" customFormat="false" ht="15" hidden="false" customHeight="false" outlineLevel="0" collapsed="false">
      <c r="A632" s="7" t="s">
        <v>359</v>
      </c>
      <c r="B632" s="7" t="s">
        <v>360</v>
      </c>
      <c r="C632" s="7" t="s">
        <v>361</v>
      </c>
      <c r="D632" s="7" t="s">
        <v>1632</v>
      </c>
      <c r="E632" s="7" t="s">
        <v>148</v>
      </c>
      <c r="F632" s="7" t="s">
        <v>1633</v>
      </c>
    </row>
    <row r="633" customFormat="false" ht="15" hidden="false" customHeight="false" outlineLevel="0" collapsed="false">
      <c r="A633" s="7" t="s">
        <v>359</v>
      </c>
      <c r="B633" s="7" t="s">
        <v>360</v>
      </c>
      <c r="C633" s="7" t="s">
        <v>361</v>
      </c>
      <c r="D633" s="7" t="s">
        <v>1634</v>
      </c>
      <c r="E633" s="7" t="s">
        <v>38</v>
      </c>
      <c r="F633" s="7" t="s">
        <v>1635</v>
      </c>
    </row>
    <row r="634" customFormat="false" ht="15" hidden="false" customHeight="false" outlineLevel="0" collapsed="false">
      <c r="A634" s="7" t="s">
        <v>359</v>
      </c>
      <c r="B634" s="7" t="s">
        <v>360</v>
      </c>
      <c r="C634" s="7" t="s">
        <v>361</v>
      </c>
      <c r="D634" s="7" t="s">
        <v>1636</v>
      </c>
      <c r="E634" s="7" t="s">
        <v>130</v>
      </c>
      <c r="F634" s="7" t="s">
        <v>1637</v>
      </c>
    </row>
    <row r="635" customFormat="false" ht="15" hidden="false" customHeight="false" outlineLevel="0" collapsed="false">
      <c r="A635" s="7" t="s">
        <v>359</v>
      </c>
      <c r="B635" s="7" t="s">
        <v>360</v>
      </c>
      <c r="C635" s="7" t="s">
        <v>361</v>
      </c>
      <c r="D635" s="7" t="s">
        <v>1638</v>
      </c>
      <c r="E635" s="7" t="s">
        <v>167</v>
      </c>
      <c r="F635" s="7" t="s">
        <v>1639</v>
      </c>
    </row>
    <row r="636" customFormat="false" ht="15" hidden="false" customHeight="false" outlineLevel="0" collapsed="false">
      <c r="A636" s="7" t="s">
        <v>359</v>
      </c>
      <c r="B636" s="7" t="s">
        <v>360</v>
      </c>
      <c r="C636" s="7" t="s">
        <v>361</v>
      </c>
      <c r="D636" s="7" t="s">
        <v>1640</v>
      </c>
      <c r="E636" s="7" t="s">
        <v>287</v>
      </c>
      <c r="F636" s="7" t="s">
        <v>1641</v>
      </c>
    </row>
    <row r="637" customFormat="false" ht="15" hidden="false" customHeight="false" outlineLevel="0" collapsed="false">
      <c r="A637" s="7" t="s">
        <v>359</v>
      </c>
      <c r="B637" s="7" t="s">
        <v>360</v>
      </c>
      <c r="C637" s="7" t="s">
        <v>361</v>
      </c>
      <c r="D637" s="7" t="s">
        <v>1642</v>
      </c>
      <c r="E637" s="7" t="s">
        <v>305</v>
      </c>
      <c r="F637" s="7" t="s">
        <v>1643</v>
      </c>
    </row>
    <row r="638" customFormat="false" ht="15" hidden="false" customHeight="false" outlineLevel="0" collapsed="false">
      <c r="A638" s="7" t="s">
        <v>359</v>
      </c>
      <c r="B638" s="7" t="s">
        <v>360</v>
      </c>
      <c r="C638" s="7" t="s">
        <v>361</v>
      </c>
      <c r="D638" s="7" t="s">
        <v>1644</v>
      </c>
      <c r="E638" s="7" t="s">
        <v>63</v>
      </c>
      <c r="F638" s="7" t="s">
        <v>1645</v>
      </c>
    </row>
    <row r="639" customFormat="false" ht="15" hidden="false" customHeight="false" outlineLevel="0" collapsed="false">
      <c r="A639" s="7" t="s">
        <v>359</v>
      </c>
      <c r="B639" s="7" t="s">
        <v>360</v>
      </c>
      <c r="C639" s="7" t="s">
        <v>361</v>
      </c>
      <c r="D639" s="7" t="s">
        <v>1646</v>
      </c>
      <c r="E639" s="7" t="s">
        <v>242</v>
      </c>
      <c r="F639" s="7" t="s">
        <v>1647</v>
      </c>
    </row>
    <row r="640" customFormat="false" ht="15" hidden="false" customHeight="false" outlineLevel="0" collapsed="false">
      <c r="A640" s="7" t="s">
        <v>359</v>
      </c>
      <c r="B640" s="7" t="s">
        <v>360</v>
      </c>
      <c r="C640" s="7" t="s">
        <v>361</v>
      </c>
      <c r="D640" s="7" t="s">
        <v>1648</v>
      </c>
      <c r="E640" s="7" t="s">
        <v>96</v>
      </c>
      <c r="F640" s="7" t="s">
        <v>1649</v>
      </c>
    </row>
    <row r="641" customFormat="false" ht="15" hidden="false" customHeight="false" outlineLevel="0" collapsed="false">
      <c r="A641" s="7" t="s">
        <v>359</v>
      </c>
      <c r="B641" s="7" t="s">
        <v>360</v>
      </c>
      <c r="C641" s="7" t="s">
        <v>361</v>
      </c>
      <c r="D641" s="7" t="s">
        <v>1650</v>
      </c>
      <c r="E641" s="7" t="s">
        <v>57</v>
      </c>
      <c r="F641" s="7" t="s">
        <v>1651</v>
      </c>
    </row>
    <row r="642" customFormat="false" ht="15" hidden="false" customHeight="false" outlineLevel="0" collapsed="false">
      <c r="A642" s="7" t="s">
        <v>359</v>
      </c>
      <c r="B642" s="7" t="s">
        <v>360</v>
      </c>
      <c r="C642" s="7" t="s">
        <v>361</v>
      </c>
      <c r="D642" s="7" t="s">
        <v>1652</v>
      </c>
      <c r="E642" s="7" t="s">
        <v>153</v>
      </c>
      <c r="F642" s="7" t="s">
        <v>1653</v>
      </c>
    </row>
    <row r="643" customFormat="false" ht="15" hidden="false" customHeight="false" outlineLevel="0" collapsed="false">
      <c r="A643" s="7" t="s">
        <v>359</v>
      </c>
      <c r="B643" s="7" t="s">
        <v>360</v>
      </c>
      <c r="C643" s="7" t="s">
        <v>361</v>
      </c>
      <c r="D643" s="7" t="s">
        <v>1654</v>
      </c>
      <c r="E643" s="7" t="s">
        <v>92</v>
      </c>
      <c r="F643" s="7" t="s">
        <v>1655</v>
      </c>
    </row>
    <row r="644" customFormat="false" ht="15" hidden="false" customHeight="false" outlineLevel="0" collapsed="false">
      <c r="A644" s="7" t="s">
        <v>359</v>
      </c>
      <c r="B644" s="7" t="s">
        <v>360</v>
      </c>
      <c r="C644" s="7" t="s">
        <v>361</v>
      </c>
      <c r="D644" s="7" t="s">
        <v>1656</v>
      </c>
      <c r="E644" s="7" t="s">
        <v>27</v>
      </c>
      <c r="F644" s="7" t="s">
        <v>1657</v>
      </c>
    </row>
    <row r="645" customFormat="false" ht="15" hidden="false" customHeight="false" outlineLevel="0" collapsed="false">
      <c r="A645" s="7" t="s">
        <v>359</v>
      </c>
      <c r="B645" s="7" t="s">
        <v>360</v>
      </c>
      <c r="C645" s="7" t="s">
        <v>361</v>
      </c>
      <c r="D645" s="7" t="s">
        <v>1658</v>
      </c>
      <c r="E645" s="7" t="s">
        <v>271</v>
      </c>
      <c r="F645" s="7" t="s">
        <v>1659</v>
      </c>
    </row>
    <row r="646" customFormat="false" ht="15" hidden="false" customHeight="false" outlineLevel="0" collapsed="false">
      <c r="A646" s="7" t="s">
        <v>359</v>
      </c>
      <c r="B646" s="7" t="s">
        <v>360</v>
      </c>
      <c r="C646" s="7" t="s">
        <v>361</v>
      </c>
      <c r="D646" s="7" t="s">
        <v>1660</v>
      </c>
      <c r="E646" s="7" t="s">
        <v>309</v>
      </c>
      <c r="F646" s="7" t="s">
        <v>1661</v>
      </c>
    </row>
    <row r="647" customFormat="false" ht="15" hidden="false" customHeight="false" outlineLevel="0" collapsed="false">
      <c r="A647" s="7" t="s">
        <v>359</v>
      </c>
      <c r="B647" s="7" t="s">
        <v>360</v>
      </c>
      <c r="C647" s="7" t="s">
        <v>361</v>
      </c>
      <c r="D647" s="7" t="s">
        <v>1662</v>
      </c>
      <c r="E647" s="7" t="s">
        <v>283</v>
      </c>
      <c r="F647" s="7" t="s">
        <v>1663</v>
      </c>
    </row>
    <row r="648" customFormat="false" ht="15" hidden="false" customHeight="false" outlineLevel="0" collapsed="false">
      <c r="A648" s="7" t="s">
        <v>359</v>
      </c>
      <c r="B648" s="7" t="s">
        <v>360</v>
      </c>
      <c r="C648" s="7" t="s">
        <v>361</v>
      </c>
      <c r="D648" s="7" t="s">
        <v>1664</v>
      </c>
      <c r="E648" s="7" t="s">
        <v>218</v>
      </c>
      <c r="F648" s="7" t="s">
        <v>1665</v>
      </c>
    </row>
    <row r="649" customFormat="false" ht="15" hidden="false" customHeight="false" outlineLevel="0" collapsed="false">
      <c r="A649" s="7" t="s">
        <v>359</v>
      </c>
      <c r="B649" s="7" t="s">
        <v>360</v>
      </c>
      <c r="C649" s="7" t="s">
        <v>361</v>
      </c>
      <c r="D649" s="7" t="s">
        <v>1666</v>
      </c>
      <c r="E649" s="7" t="s">
        <v>65</v>
      </c>
      <c r="F649" s="7" t="s">
        <v>1667</v>
      </c>
    </row>
    <row r="650" customFormat="false" ht="15" hidden="false" customHeight="false" outlineLevel="0" collapsed="false">
      <c r="A650" s="7" t="s">
        <v>359</v>
      </c>
      <c r="B650" s="7" t="s">
        <v>360</v>
      </c>
      <c r="C650" s="7" t="s">
        <v>361</v>
      </c>
      <c r="D650" s="7" t="s">
        <v>1668</v>
      </c>
      <c r="E650" s="7" t="s">
        <v>216</v>
      </c>
      <c r="F650" s="7" t="s">
        <v>1669</v>
      </c>
    </row>
    <row r="651" customFormat="false" ht="15" hidden="false" customHeight="false" outlineLevel="0" collapsed="false">
      <c r="A651" s="7" t="s">
        <v>359</v>
      </c>
      <c r="B651" s="7" t="s">
        <v>360</v>
      </c>
      <c r="C651" s="7" t="s">
        <v>361</v>
      </c>
      <c r="D651" s="7" t="s">
        <v>1670</v>
      </c>
      <c r="E651" s="7" t="s">
        <v>242</v>
      </c>
      <c r="F651" s="7" t="s">
        <v>1671</v>
      </c>
    </row>
    <row r="652" customFormat="false" ht="15" hidden="false" customHeight="false" outlineLevel="0" collapsed="false">
      <c r="A652" s="7" t="s">
        <v>359</v>
      </c>
      <c r="B652" s="7" t="s">
        <v>360</v>
      </c>
      <c r="C652" s="7" t="s">
        <v>361</v>
      </c>
      <c r="D652" s="7" t="s">
        <v>1672</v>
      </c>
      <c r="E652" s="7" t="s">
        <v>196</v>
      </c>
      <c r="F652" s="7" t="s">
        <v>1673</v>
      </c>
    </row>
    <row r="653" customFormat="false" ht="15" hidden="false" customHeight="false" outlineLevel="0" collapsed="false">
      <c r="A653" s="7" t="s">
        <v>359</v>
      </c>
      <c r="B653" s="7" t="s">
        <v>360</v>
      </c>
      <c r="C653" s="7" t="s">
        <v>361</v>
      </c>
      <c r="D653" s="7" t="s">
        <v>1674</v>
      </c>
      <c r="E653" s="7" t="s">
        <v>298</v>
      </c>
      <c r="F653" s="7" t="s">
        <v>1675</v>
      </c>
    </row>
    <row r="654" customFormat="false" ht="15" hidden="false" customHeight="false" outlineLevel="0" collapsed="false">
      <c r="A654" s="7" t="s">
        <v>359</v>
      </c>
      <c r="B654" s="7" t="s">
        <v>360</v>
      </c>
      <c r="C654" s="7" t="s">
        <v>361</v>
      </c>
      <c r="D654" s="7" t="s">
        <v>1676</v>
      </c>
      <c r="E654" s="7" t="s">
        <v>220</v>
      </c>
      <c r="F654" s="7" t="s">
        <v>1677</v>
      </c>
    </row>
    <row r="655" customFormat="false" ht="15" hidden="false" customHeight="false" outlineLevel="0" collapsed="false">
      <c r="A655" s="7" t="s">
        <v>359</v>
      </c>
      <c r="B655" s="7" t="s">
        <v>360</v>
      </c>
      <c r="C655" s="7" t="s">
        <v>361</v>
      </c>
      <c r="D655" s="7" t="s">
        <v>1678</v>
      </c>
      <c r="E655" s="7" t="s">
        <v>45</v>
      </c>
      <c r="F655" s="7" t="s">
        <v>1679</v>
      </c>
    </row>
    <row r="656" customFormat="false" ht="15" hidden="false" customHeight="false" outlineLevel="0" collapsed="false">
      <c r="A656" s="7" t="s">
        <v>359</v>
      </c>
      <c r="B656" s="7" t="s">
        <v>360</v>
      </c>
      <c r="C656" s="7" t="s">
        <v>361</v>
      </c>
      <c r="D656" s="7" t="s">
        <v>1680</v>
      </c>
      <c r="E656" s="7" t="s">
        <v>314</v>
      </c>
      <c r="F656" s="7" t="s">
        <v>1681</v>
      </c>
    </row>
    <row r="657" customFormat="false" ht="15" hidden="false" customHeight="false" outlineLevel="0" collapsed="false">
      <c r="A657" s="7" t="s">
        <v>359</v>
      </c>
      <c r="B657" s="7" t="s">
        <v>360</v>
      </c>
      <c r="C657" s="7" t="s">
        <v>361</v>
      </c>
      <c r="D657" s="7" t="s">
        <v>1682</v>
      </c>
      <c r="E657" s="7" t="s">
        <v>151</v>
      </c>
      <c r="F657" s="7" t="s">
        <v>1683</v>
      </c>
    </row>
    <row r="658" customFormat="false" ht="15" hidden="false" customHeight="false" outlineLevel="0" collapsed="false">
      <c r="A658" s="7" t="s">
        <v>359</v>
      </c>
      <c r="B658" s="7" t="s">
        <v>360</v>
      </c>
      <c r="C658" s="7" t="s">
        <v>361</v>
      </c>
      <c r="D658" s="7" t="s">
        <v>1684</v>
      </c>
      <c r="E658" s="7" t="s">
        <v>146</v>
      </c>
      <c r="F658" s="7" t="s">
        <v>1685</v>
      </c>
    </row>
    <row r="659" customFormat="false" ht="15" hidden="false" customHeight="false" outlineLevel="0" collapsed="false">
      <c r="A659" s="7" t="s">
        <v>359</v>
      </c>
      <c r="B659" s="7" t="s">
        <v>360</v>
      </c>
      <c r="C659" s="7" t="s">
        <v>361</v>
      </c>
      <c r="D659" s="7" t="s">
        <v>1686</v>
      </c>
      <c r="E659" s="7" t="s">
        <v>294</v>
      </c>
      <c r="F659" s="7" t="s">
        <v>1687</v>
      </c>
    </row>
    <row r="660" customFormat="false" ht="15" hidden="false" customHeight="false" outlineLevel="0" collapsed="false">
      <c r="A660" s="7" t="s">
        <v>359</v>
      </c>
      <c r="B660" s="7" t="s">
        <v>360</v>
      </c>
      <c r="C660" s="7" t="s">
        <v>361</v>
      </c>
      <c r="D660" s="7" t="s">
        <v>1688</v>
      </c>
      <c r="E660" s="7" t="s">
        <v>85</v>
      </c>
      <c r="F660" s="7" t="s">
        <v>1689</v>
      </c>
    </row>
    <row r="661" customFormat="false" ht="15" hidden="false" customHeight="false" outlineLevel="0" collapsed="false">
      <c r="A661" s="7" t="s">
        <v>359</v>
      </c>
      <c r="B661" s="7" t="s">
        <v>360</v>
      </c>
      <c r="C661" s="7" t="s">
        <v>361</v>
      </c>
      <c r="D661" s="7" t="s">
        <v>1690</v>
      </c>
      <c r="E661" s="7" t="s">
        <v>203</v>
      </c>
      <c r="F661" s="7" t="s">
        <v>1691</v>
      </c>
    </row>
    <row r="662" customFormat="false" ht="15" hidden="false" customHeight="false" outlineLevel="0" collapsed="false">
      <c r="A662" s="7" t="s">
        <v>359</v>
      </c>
      <c r="B662" s="7" t="s">
        <v>360</v>
      </c>
      <c r="C662" s="7" t="s">
        <v>361</v>
      </c>
      <c r="D662" s="7" t="s">
        <v>1692</v>
      </c>
      <c r="E662" s="7" t="s">
        <v>316</v>
      </c>
      <c r="F662" s="7" t="s">
        <v>1693</v>
      </c>
    </row>
    <row r="663" customFormat="false" ht="15" hidden="false" customHeight="false" outlineLevel="0" collapsed="false">
      <c r="A663" s="7" t="s">
        <v>359</v>
      </c>
      <c r="B663" s="7" t="s">
        <v>360</v>
      </c>
      <c r="C663" s="7" t="s">
        <v>361</v>
      </c>
      <c r="D663" s="7" t="s">
        <v>1694</v>
      </c>
      <c r="E663" s="7" t="s">
        <v>142</v>
      </c>
      <c r="F663" s="7" t="s">
        <v>1695</v>
      </c>
    </row>
    <row r="664" customFormat="false" ht="15" hidden="false" customHeight="false" outlineLevel="0" collapsed="false">
      <c r="A664" s="7" t="s">
        <v>359</v>
      </c>
      <c r="B664" s="7" t="s">
        <v>360</v>
      </c>
      <c r="C664" s="7" t="s">
        <v>361</v>
      </c>
      <c r="D664" s="7" t="s">
        <v>1696</v>
      </c>
      <c r="E664" s="7" t="s">
        <v>96</v>
      </c>
      <c r="F664" s="7" t="s">
        <v>1697</v>
      </c>
    </row>
    <row r="665" customFormat="false" ht="15" hidden="false" customHeight="false" outlineLevel="0" collapsed="false">
      <c r="A665" s="7" t="s">
        <v>359</v>
      </c>
      <c r="B665" s="7" t="s">
        <v>360</v>
      </c>
      <c r="C665" s="7" t="s">
        <v>361</v>
      </c>
      <c r="D665" s="7" t="s">
        <v>1698</v>
      </c>
      <c r="E665" s="7" t="s">
        <v>178</v>
      </c>
      <c r="F665" s="7" t="s">
        <v>1699</v>
      </c>
    </row>
    <row r="666" customFormat="false" ht="15" hidden="false" customHeight="false" outlineLevel="0" collapsed="false">
      <c r="A666" s="7" t="s">
        <v>359</v>
      </c>
      <c r="B666" s="7" t="s">
        <v>360</v>
      </c>
      <c r="C666" s="7" t="s">
        <v>361</v>
      </c>
      <c r="D666" s="7" t="s">
        <v>1700</v>
      </c>
      <c r="E666" s="7" t="s">
        <v>327</v>
      </c>
      <c r="F666" s="7" t="s">
        <v>1701</v>
      </c>
    </row>
    <row r="667" customFormat="false" ht="15" hidden="false" customHeight="false" outlineLevel="0" collapsed="false">
      <c r="A667" s="7" t="s">
        <v>359</v>
      </c>
      <c r="B667" s="7" t="s">
        <v>360</v>
      </c>
      <c r="C667" s="7" t="s">
        <v>361</v>
      </c>
      <c r="D667" s="7" t="s">
        <v>1702</v>
      </c>
      <c r="E667" s="7" t="s">
        <v>185</v>
      </c>
      <c r="F667" s="7" t="s">
        <v>1703</v>
      </c>
    </row>
    <row r="668" customFormat="false" ht="15" hidden="false" customHeight="false" outlineLevel="0" collapsed="false">
      <c r="A668" s="7" t="s">
        <v>359</v>
      </c>
      <c r="B668" s="7" t="s">
        <v>360</v>
      </c>
      <c r="C668" s="7" t="s">
        <v>361</v>
      </c>
      <c r="D668" s="7" t="s">
        <v>1704</v>
      </c>
      <c r="E668" s="7" t="s">
        <v>302</v>
      </c>
      <c r="F668" s="7" t="s">
        <v>1705</v>
      </c>
    </row>
    <row r="669" customFormat="false" ht="15" hidden="false" customHeight="false" outlineLevel="0" collapsed="false">
      <c r="A669" s="7" t="s">
        <v>359</v>
      </c>
      <c r="B669" s="7" t="s">
        <v>360</v>
      </c>
      <c r="C669" s="7" t="s">
        <v>361</v>
      </c>
      <c r="D669" s="7" t="s">
        <v>1706</v>
      </c>
      <c r="E669" s="7" t="s">
        <v>90</v>
      </c>
      <c r="F669" s="7" t="s">
        <v>1707</v>
      </c>
    </row>
    <row r="670" customFormat="false" ht="15" hidden="false" customHeight="false" outlineLevel="0" collapsed="false">
      <c r="A670" s="7" t="s">
        <v>359</v>
      </c>
      <c r="B670" s="7" t="s">
        <v>360</v>
      </c>
      <c r="C670" s="7" t="s">
        <v>361</v>
      </c>
      <c r="D670" s="7" t="s">
        <v>1708</v>
      </c>
      <c r="E670" s="7" t="s">
        <v>137</v>
      </c>
      <c r="F670" s="7" t="s">
        <v>1709</v>
      </c>
    </row>
    <row r="671" customFormat="false" ht="15" hidden="false" customHeight="false" outlineLevel="0" collapsed="false">
      <c r="A671" s="7" t="s">
        <v>359</v>
      </c>
      <c r="B671" s="7" t="s">
        <v>360</v>
      </c>
      <c r="C671" s="7" t="s">
        <v>361</v>
      </c>
      <c r="D671" s="7" t="s">
        <v>1710</v>
      </c>
      <c r="E671" s="7" t="s">
        <v>327</v>
      </c>
      <c r="F671" s="7" t="s">
        <v>1711</v>
      </c>
    </row>
    <row r="672" customFormat="false" ht="15" hidden="false" customHeight="false" outlineLevel="0" collapsed="false">
      <c r="A672" s="7" t="s">
        <v>359</v>
      </c>
      <c r="B672" s="7" t="s">
        <v>360</v>
      </c>
      <c r="C672" s="7" t="s">
        <v>361</v>
      </c>
      <c r="D672" s="7" t="s">
        <v>1712</v>
      </c>
      <c r="E672" s="7" t="s">
        <v>254</v>
      </c>
      <c r="F672" s="7" t="s">
        <v>1713</v>
      </c>
    </row>
    <row r="673" customFormat="false" ht="15" hidden="false" customHeight="false" outlineLevel="0" collapsed="false">
      <c r="A673" s="7" t="s">
        <v>359</v>
      </c>
      <c r="B673" s="7" t="s">
        <v>360</v>
      </c>
      <c r="C673" s="7" t="s">
        <v>361</v>
      </c>
      <c r="D673" s="7" t="s">
        <v>1714</v>
      </c>
      <c r="E673" s="7" t="s">
        <v>289</v>
      </c>
      <c r="F673" s="7" t="s">
        <v>1715</v>
      </c>
    </row>
    <row r="674" customFormat="false" ht="15" hidden="false" customHeight="false" outlineLevel="0" collapsed="false">
      <c r="A674" s="7" t="s">
        <v>359</v>
      </c>
      <c r="B674" s="7" t="s">
        <v>360</v>
      </c>
      <c r="C674" s="7" t="s">
        <v>361</v>
      </c>
      <c r="D674" s="7" t="s">
        <v>1716</v>
      </c>
      <c r="E674" s="7" t="s">
        <v>196</v>
      </c>
      <c r="F674" s="7" t="s">
        <v>1717</v>
      </c>
    </row>
    <row r="675" customFormat="false" ht="15" hidden="false" customHeight="false" outlineLevel="0" collapsed="false">
      <c r="A675" s="7" t="s">
        <v>359</v>
      </c>
      <c r="B675" s="7" t="s">
        <v>360</v>
      </c>
      <c r="C675" s="7" t="s">
        <v>361</v>
      </c>
      <c r="D675" s="7" t="s">
        <v>1718</v>
      </c>
      <c r="E675" s="7" t="s">
        <v>67</v>
      </c>
      <c r="F675" s="7" t="s">
        <v>1719</v>
      </c>
    </row>
    <row r="676" customFormat="false" ht="15" hidden="false" customHeight="false" outlineLevel="0" collapsed="false">
      <c r="A676" s="7" t="s">
        <v>359</v>
      </c>
      <c r="B676" s="7" t="s">
        <v>360</v>
      </c>
      <c r="C676" s="7" t="s">
        <v>361</v>
      </c>
      <c r="D676" s="7" t="s">
        <v>1720</v>
      </c>
      <c r="E676" s="7" t="s">
        <v>163</v>
      </c>
      <c r="F676" s="7" t="s">
        <v>1721</v>
      </c>
    </row>
    <row r="677" customFormat="false" ht="15" hidden="false" customHeight="false" outlineLevel="0" collapsed="false">
      <c r="A677" s="7" t="s">
        <v>359</v>
      </c>
      <c r="B677" s="7" t="s">
        <v>360</v>
      </c>
      <c r="C677" s="7" t="s">
        <v>361</v>
      </c>
      <c r="D677" s="7" t="s">
        <v>1722</v>
      </c>
      <c r="E677" s="7" t="s">
        <v>226</v>
      </c>
      <c r="F677" s="7" t="s">
        <v>1723</v>
      </c>
    </row>
    <row r="678" customFormat="false" ht="15" hidden="false" customHeight="false" outlineLevel="0" collapsed="false">
      <c r="A678" s="7" t="s">
        <v>359</v>
      </c>
      <c r="B678" s="7" t="s">
        <v>360</v>
      </c>
      <c r="C678" s="7" t="s">
        <v>361</v>
      </c>
      <c r="D678" s="7" t="s">
        <v>1724</v>
      </c>
      <c r="E678" s="7" t="s">
        <v>278</v>
      </c>
      <c r="F678" s="7" t="s">
        <v>1725</v>
      </c>
    </row>
    <row r="679" customFormat="false" ht="15" hidden="false" customHeight="false" outlineLevel="0" collapsed="false">
      <c r="A679" s="7" t="s">
        <v>359</v>
      </c>
      <c r="B679" s="7" t="s">
        <v>360</v>
      </c>
      <c r="C679" s="7" t="s">
        <v>361</v>
      </c>
      <c r="D679" s="7" t="s">
        <v>1726</v>
      </c>
      <c r="E679" s="7" t="s">
        <v>301</v>
      </c>
      <c r="F679" s="7" t="s">
        <v>1727</v>
      </c>
    </row>
    <row r="680" customFormat="false" ht="15" hidden="false" customHeight="false" outlineLevel="0" collapsed="false">
      <c r="A680" s="7" t="s">
        <v>359</v>
      </c>
      <c r="B680" s="7" t="s">
        <v>360</v>
      </c>
      <c r="C680" s="7" t="s">
        <v>361</v>
      </c>
      <c r="D680" s="7" t="s">
        <v>1728</v>
      </c>
      <c r="E680" s="7" t="s">
        <v>307</v>
      </c>
      <c r="F680" s="7" t="s">
        <v>1729</v>
      </c>
    </row>
    <row r="681" customFormat="false" ht="15" hidden="false" customHeight="false" outlineLevel="0" collapsed="false">
      <c r="A681" s="7" t="s">
        <v>359</v>
      </c>
      <c r="B681" s="7" t="s">
        <v>360</v>
      </c>
      <c r="C681" s="7" t="s">
        <v>361</v>
      </c>
      <c r="D681" s="7" t="s">
        <v>1730</v>
      </c>
      <c r="E681" s="7" t="s">
        <v>185</v>
      </c>
      <c r="F681" s="7" t="s">
        <v>1731</v>
      </c>
    </row>
    <row r="682" customFormat="false" ht="15" hidden="false" customHeight="false" outlineLevel="0" collapsed="false">
      <c r="A682" s="7" t="s">
        <v>359</v>
      </c>
      <c r="B682" s="7" t="s">
        <v>360</v>
      </c>
      <c r="C682" s="7" t="s">
        <v>361</v>
      </c>
      <c r="D682" s="7" t="s">
        <v>1732</v>
      </c>
      <c r="E682" s="7" t="s">
        <v>314</v>
      </c>
      <c r="F682" s="7" t="s">
        <v>1733</v>
      </c>
    </row>
    <row r="683" customFormat="false" ht="15" hidden="false" customHeight="false" outlineLevel="0" collapsed="false">
      <c r="A683" s="7" t="s">
        <v>359</v>
      </c>
      <c r="B683" s="7" t="s">
        <v>360</v>
      </c>
      <c r="C683" s="7" t="s">
        <v>361</v>
      </c>
      <c r="D683" s="7" t="s">
        <v>1734</v>
      </c>
      <c r="E683" s="7" t="s">
        <v>332</v>
      </c>
      <c r="F683" s="7" t="s">
        <v>1735</v>
      </c>
    </row>
    <row r="684" customFormat="false" ht="15" hidden="false" customHeight="false" outlineLevel="0" collapsed="false">
      <c r="A684" s="7" t="s">
        <v>359</v>
      </c>
      <c r="B684" s="7" t="s">
        <v>360</v>
      </c>
      <c r="C684" s="7" t="s">
        <v>361</v>
      </c>
      <c r="D684" s="7" t="s">
        <v>1736</v>
      </c>
      <c r="E684" s="7" t="s">
        <v>142</v>
      </c>
      <c r="F684" s="7" t="s">
        <v>1737</v>
      </c>
    </row>
    <row r="685" customFormat="false" ht="15" hidden="false" customHeight="false" outlineLevel="0" collapsed="false">
      <c r="A685" s="7" t="s">
        <v>359</v>
      </c>
      <c r="B685" s="7" t="s">
        <v>360</v>
      </c>
      <c r="C685" s="7" t="s">
        <v>361</v>
      </c>
      <c r="D685" s="7" t="s">
        <v>1738</v>
      </c>
      <c r="E685" s="7" t="s">
        <v>248</v>
      </c>
      <c r="F685" s="7" t="s">
        <v>1739</v>
      </c>
    </row>
    <row r="686" customFormat="false" ht="15" hidden="false" customHeight="false" outlineLevel="0" collapsed="false">
      <c r="A686" s="7" t="s">
        <v>359</v>
      </c>
      <c r="B686" s="7" t="s">
        <v>360</v>
      </c>
      <c r="C686" s="7" t="s">
        <v>361</v>
      </c>
      <c r="D686" s="7" t="s">
        <v>1740</v>
      </c>
      <c r="E686" s="7" t="s">
        <v>222</v>
      </c>
      <c r="F686" s="7" t="s">
        <v>1741</v>
      </c>
    </row>
    <row r="687" customFormat="false" ht="15" hidden="false" customHeight="false" outlineLevel="0" collapsed="false">
      <c r="A687" s="7" t="s">
        <v>359</v>
      </c>
      <c r="B687" s="7" t="s">
        <v>360</v>
      </c>
      <c r="C687" s="7" t="s">
        <v>361</v>
      </c>
      <c r="D687" s="7" t="s">
        <v>1742</v>
      </c>
      <c r="E687" s="7" t="s">
        <v>267</v>
      </c>
      <c r="F687" s="7" t="s">
        <v>1743</v>
      </c>
    </row>
    <row r="688" customFormat="false" ht="15" hidden="false" customHeight="false" outlineLevel="0" collapsed="false">
      <c r="A688" s="7" t="s">
        <v>359</v>
      </c>
      <c r="B688" s="7" t="s">
        <v>360</v>
      </c>
      <c r="C688" s="7" t="s">
        <v>361</v>
      </c>
      <c r="D688" s="7" t="s">
        <v>1744</v>
      </c>
      <c r="E688" s="7" t="s">
        <v>344</v>
      </c>
      <c r="F688" s="7" t="s">
        <v>1745</v>
      </c>
    </row>
    <row r="689" customFormat="false" ht="15" hidden="false" customHeight="false" outlineLevel="0" collapsed="false">
      <c r="A689" s="7" t="s">
        <v>359</v>
      </c>
      <c r="B689" s="7" t="s">
        <v>360</v>
      </c>
      <c r="C689" s="7" t="s">
        <v>361</v>
      </c>
      <c r="D689" s="7" t="s">
        <v>1746</v>
      </c>
      <c r="E689" s="7" t="s">
        <v>235</v>
      </c>
      <c r="F689" s="7" t="s">
        <v>1747</v>
      </c>
    </row>
    <row r="690" customFormat="false" ht="15" hidden="false" customHeight="false" outlineLevel="0" collapsed="false">
      <c r="A690" s="7" t="s">
        <v>359</v>
      </c>
      <c r="B690" s="7" t="s">
        <v>360</v>
      </c>
      <c r="C690" s="7" t="s">
        <v>361</v>
      </c>
      <c r="D690" s="7" t="s">
        <v>1748</v>
      </c>
      <c r="E690" s="7" t="s">
        <v>197</v>
      </c>
      <c r="F690" s="7" t="s">
        <v>1749</v>
      </c>
    </row>
    <row r="691" customFormat="false" ht="15" hidden="false" customHeight="false" outlineLevel="0" collapsed="false">
      <c r="A691" s="7" t="s">
        <v>359</v>
      </c>
      <c r="B691" s="7" t="s">
        <v>360</v>
      </c>
      <c r="C691" s="7" t="s">
        <v>361</v>
      </c>
      <c r="D691" s="7" t="s">
        <v>1750</v>
      </c>
      <c r="E691" s="7" t="s">
        <v>77</v>
      </c>
      <c r="F691" s="7" t="s">
        <v>1751</v>
      </c>
    </row>
    <row r="692" customFormat="false" ht="15" hidden="false" customHeight="false" outlineLevel="0" collapsed="false">
      <c r="A692" s="7" t="s">
        <v>359</v>
      </c>
      <c r="B692" s="7" t="s">
        <v>360</v>
      </c>
      <c r="C692" s="7" t="s">
        <v>361</v>
      </c>
      <c r="D692" s="7" t="s">
        <v>1752</v>
      </c>
      <c r="E692" s="7" t="s">
        <v>92</v>
      </c>
      <c r="F692" s="7" t="s">
        <v>1753</v>
      </c>
    </row>
    <row r="693" customFormat="false" ht="15" hidden="false" customHeight="false" outlineLevel="0" collapsed="false">
      <c r="A693" s="7" t="s">
        <v>359</v>
      </c>
      <c r="B693" s="7" t="s">
        <v>360</v>
      </c>
      <c r="C693" s="7" t="s">
        <v>361</v>
      </c>
      <c r="D693" s="7" t="s">
        <v>1754</v>
      </c>
      <c r="E693" s="7" t="s">
        <v>87</v>
      </c>
      <c r="F693" s="7" t="s">
        <v>1755</v>
      </c>
    </row>
    <row r="694" customFormat="false" ht="15" hidden="false" customHeight="false" outlineLevel="0" collapsed="false">
      <c r="A694" s="7" t="s">
        <v>359</v>
      </c>
      <c r="B694" s="7" t="s">
        <v>360</v>
      </c>
      <c r="C694" s="7" t="s">
        <v>361</v>
      </c>
      <c r="D694" s="7" t="s">
        <v>1756</v>
      </c>
      <c r="E694" s="7" t="s">
        <v>190</v>
      </c>
      <c r="F694" s="7" t="s">
        <v>1757</v>
      </c>
    </row>
    <row r="695" customFormat="false" ht="15" hidden="false" customHeight="false" outlineLevel="0" collapsed="false">
      <c r="A695" s="7" t="s">
        <v>359</v>
      </c>
      <c r="B695" s="7" t="s">
        <v>360</v>
      </c>
      <c r="C695" s="7" t="s">
        <v>361</v>
      </c>
      <c r="D695" s="7" t="s">
        <v>1758</v>
      </c>
      <c r="E695" s="7" t="s">
        <v>281</v>
      </c>
      <c r="F695" s="7" t="s">
        <v>1759</v>
      </c>
    </row>
    <row r="696" customFormat="false" ht="15" hidden="false" customHeight="false" outlineLevel="0" collapsed="false">
      <c r="A696" s="7" t="s">
        <v>359</v>
      </c>
      <c r="B696" s="7" t="s">
        <v>360</v>
      </c>
      <c r="C696" s="7" t="s">
        <v>361</v>
      </c>
      <c r="D696" s="7" t="s">
        <v>1760</v>
      </c>
      <c r="E696" s="7" t="s">
        <v>27</v>
      </c>
      <c r="F696" s="7" t="s">
        <v>1761</v>
      </c>
    </row>
    <row r="697" customFormat="false" ht="15" hidden="false" customHeight="false" outlineLevel="0" collapsed="false">
      <c r="A697" s="7" t="s">
        <v>359</v>
      </c>
      <c r="B697" s="7" t="s">
        <v>360</v>
      </c>
      <c r="C697" s="7" t="s">
        <v>361</v>
      </c>
      <c r="D697" s="7" t="s">
        <v>1762</v>
      </c>
      <c r="E697" s="7" t="s">
        <v>38</v>
      </c>
      <c r="F697" s="7" t="s">
        <v>1763</v>
      </c>
    </row>
    <row r="698" customFormat="false" ht="15" hidden="false" customHeight="false" outlineLevel="0" collapsed="false">
      <c r="A698" s="7" t="s">
        <v>359</v>
      </c>
      <c r="B698" s="7" t="s">
        <v>360</v>
      </c>
      <c r="C698" s="7" t="s">
        <v>361</v>
      </c>
      <c r="D698" s="7" t="s">
        <v>1764</v>
      </c>
      <c r="E698" s="7" t="s">
        <v>322</v>
      </c>
      <c r="F698" s="7" t="s">
        <v>1765</v>
      </c>
    </row>
    <row r="699" customFormat="false" ht="15" hidden="false" customHeight="false" outlineLevel="0" collapsed="false">
      <c r="A699" s="7" t="s">
        <v>359</v>
      </c>
      <c r="B699" s="7" t="s">
        <v>360</v>
      </c>
      <c r="C699" s="7" t="s">
        <v>361</v>
      </c>
      <c r="D699" s="7" t="s">
        <v>1766</v>
      </c>
      <c r="E699" s="7" t="s">
        <v>266</v>
      </c>
      <c r="F699" s="7" t="s">
        <v>1767</v>
      </c>
    </row>
    <row r="700" customFormat="false" ht="15" hidden="false" customHeight="false" outlineLevel="0" collapsed="false">
      <c r="A700" s="7" t="s">
        <v>359</v>
      </c>
      <c r="B700" s="7" t="s">
        <v>360</v>
      </c>
      <c r="C700" s="7" t="s">
        <v>361</v>
      </c>
      <c r="D700" s="7" t="s">
        <v>1768</v>
      </c>
      <c r="E700" s="7" t="s">
        <v>302</v>
      </c>
      <c r="F700" s="7" t="s">
        <v>1769</v>
      </c>
    </row>
    <row r="701" customFormat="false" ht="15" hidden="false" customHeight="false" outlineLevel="0" collapsed="false">
      <c r="A701" s="7" t="s">
        <v>359</v>
      </c>
      <c r="B701" s="7" t="s">
        <v>360</v>
      </c>
      <c r="C701" s="7" t="s">
        <v>361</v>
      </c>
      <c r="D701" s="7" t="s">
        <v>1770</v>
      </c>
      <c r="E701" s="7" t="s">
        <v>210</v>
      </c>
      <c r="F701" s="7" t="s">
        <v>1771</v>
      </c>
    </row>
    <row r="702" customFormat="false" ht="15" hidden="false" customHeight="false" outlineLevel="0" collapsed="false">
      <c r="A702" s="7" t="s">
        <v>359</v>
      </c>
      <c r="B702" s="7" t="s">
        <v>360</v>
      </c>
      <c r="C702" s="7" t="s">
        <v>361</v>
      </c>
      <c r="D702" s="7" t="s">
        <v>1772</v>
      </c>
      <c r="E702" s="7" t="s">
        <v>94</v>
      </c>
      <c r="F702" s="7" t="s">
        <v>1773</v>
      </c>
    </row>
    <row r="703" customFormat="false" ht="15" hidden="false" customHeight="false" outlineLevel="0" collapsed="false">
      <c r="A703" s="7" t="s">
        <v>359</v>
      </c>
      <c r="B703" s="7" t="s">
        <v>360</v>
      </c>
      <c r="C703" s="7" t="s">
        <v>361</v>
      </c>
      <c r="D703" s="7" t="s">
        <v>1774</v>
      </c>
      <c r="E703" s="7" t="s">
        <v>210</v>
      </c>
      <c r="F703" s="7" t="s">
        <v>1775</v>
      </c>
    </row>
    <row r="704" customFormat="false" ht="15" hidden="false" customHeight="false" outlineLevel="0" collapsed="false">
      <c r="A704" s="7" t="s">
        <v>359</v>
      </c>
      <c r="B704" s="7" t="s">
        <v>360</v>
      </c>
      <c r="C704" s="7" t="s">
        <v>361</v>
      </c>
      <c r="D704" s="7" t="s">
        <v>1776</v>
      </c>
      <c r="E704" s="7" t="s">
        <v>161</v>
      </c>
      <c r="F704" s="7" t="s">
        <v>1777</v>
      </c>
    </row>
    <row r="705" customFormat="false" ht="15" hidden="false" customHeight="false" outlineLevel="0" collapsed="false">
      <c r="A705" s="7" t="s">
        <v>359</v>
      </c>
      <c r="B705" s="7" t="s">
        <v>360</v>
      </c>
      <c r="C705" s="7" t="s">
        <v>361</v>
      </c>
      <c r="D705" s="7" t="s">
        <v>1778</v>
      </c>
      <c r="E705" s="7" t="s">
        <v>194</v>
      </c>
      <c r="F705" s="7" t="s">
        <v>1779</v>
      </c>
    </row>
    <row r="706" customFormat="false" ht="15" hidden="false" customHeight="false" outlineLevel="0" collapsed="false">
      <c r="A706" s="7" t="s">
        <v>359</v>
      </c>
      <c r="B706" s="7" t="s">
        <v>360</v>
      </c>
      <c r="C706" s="7" t="s">
        <v>361</v>
      </c>
      <c r="D706" s="7" t="s">
        <v>1780</v>
      </c>
      <c r="E706" s="7" t="s">
        <v>237</v>
      </c>
      <c r="F706" s="7" t="s">
        <v>1781</v>
      </c>
    </row>
    <row r="707" customFormat="false" ht="15" hidden="false" customHeight="false" outlineLevel="0" collapsed="false">
      <c r="A707" s="7" t="s">
        <v>359</v>
      </c>
      <c r="B707" s="7" t="s">
        <v>360</v>
      </c>
      <c r="C707" s="7" t="s">
        <v>361</v>
      </c>
      <c r="D707" s="7" t="s">
        <v>1782</v>
      </c>
      <c r="E707" s="7" t="s">
        <v>248</v>
      </c>
      <c r="F707" s="7" t="s">
        <v>1783</v>
      </c>
    </row>
    <row r="708" customFormat="false" ht="15" hidden="false" customHeight="false" outlineLevel="0" collapsed="false">
      <c r="A708" s="7" t="s">
        <v>359</v>
      </c>
      <c r="B708" s="7" t="s">
        <v>360</v>
      </c>
      <c r="C708" s="7" t="s">
        <v>361</v>
      </c>
      <c r="D708" s="7" t="s">
        <v>1784</v>
      </c>
      <c r="E708" s="7" t="s">
        <v>256</v>
      </c>
      <c r="F708" s="7" t="s">
        <v>1785</v>
      </c>
    </row>
    <row r="709" customFormat="false" ht="15" hidden="false" customHeight="false" outlineLevel="0" collapsed="false">
      <c r="A709" s="7" t="s">
        <v>359</v>
      </c>
      <c r="B709" s="7" t="s">
        <v>360</v>
      </c>
      <c r="C709" s="7" t="s">
        <v>361</v>
      </c>
      <c r="D709" s="7" t="s">
        <v>1786</v>
      </c>
      <c r="E709" s="7" t="s">
        <v>347</v>
      </c>
      <c r="F709" s="7" t="s">
        <v>1787</v>
      </c>
    </row>
    <row r="710" customFormat="false" ht="15" hidden="false" customHeight="false" outlineLevel="0" collapsed="false">
      <c r="A710" s="7" t="s">
        <v>359</v>
      </c>
      <c r="B710" s="7" t="s">
        <v>360</v>
      </c>
      <c r="C710" s="7" t="s">
        <v>361</v>
      </c>
      <c r="D710" s="7" t="s">
        <v>1788</v>
      </c>
      <c r="E710" s="7" t="s">
        <v>340</v>
      </c>
      <c r="F710" s="7" t="s">
        <v>1789</v>
      </c>
    </row>
    <row r="711" customFormat="false" ht="15" hidden="false" customHeight="false" outlineLevel="0" collapsed="false">
      <c r="A711" s="7" t="s">
        <v>359</v>
      </c>
      <c r="B711" s="7" t="s">
        <v>360</v>
      </c>
      <c r="C711" s="7" t="s">
        <v>361</v>
      </c>
      <c r="D711" s="7" t="s">
        <v>1790</v>
      </c>
      <c r="E711" s="7" t="s">
        <v>209</v>
      </c>
      <c r="F711" s="7" t="s">
        <v>1791</v>
      </c>
    </row>
    <row r="712" customFormat="false" ht="15" hidden="false" customHeight="false" outlineLevel="0" collapsed="false">
      <c r="A712" s="7" t="s">
        <v>359</v>
      </c>
      <c r="B712" s="7" t="s">
        <v>360</v>
      </c>
      <c r="C712" s="7" t="s">
        <v>361</v>
      </c>
      <c r="D712" s="7" t="s">
        <v>1792</v>
      </c>
      <c r="E712" s="7" t="s">
        <v>243</v>
      </c>
      <c r="F712" s="7" t="s">
        <v>1793</v>
      </c>
    </row>
    <row r="713" customFormat="false" ht="15" hidden="false" customHeight="false" outlineLevel="0" collapsed="false">
      <c r="A713" s="7" t="s">
        <v>359</v>
      </c>
      <c r="B713" s="7" t="s">
        <v>360</v>
      </c>
      <c r="C713" s="7" t="s">
        <v>361</v>
      </c>
      <c r="D713" s="7" t="s">
        <v>1794</v>
      </c>
      <c r="E713" s="7" t="s">
        <v>43</v>
      </c>
      <c r="F713" s="7" t="s">
        <v>1795</v>
      </c>
    </row>
    <row r="714" customFormat="false" ht="15" hidden="false" customHeight="false" outlineLevel="0" collapsed="false">
      <c r="A714" s="7" t="s">
        <v>359</v>
      </c>
      <c r="B714" s="7" t="s">
        <v>360</v>
      </c>
      <c r="C714" s="7" t="s">
        <v>361</v>
      </c>
      <c r="D714" s="7" t="s">
        <v>1796</v>
      </c>
      <c r="E714" s="7" t="s">
        <v>273</v>
      </c>
      <c r="F714" s="7" t="s">
        <v>1797</v>
      </c>
    </row>
    <row r="715" customFormat="false" ht="15" hidden="false" customHeight="false" outlineLevel="0" collapsed="false">
      <c r="A715" s="7" t="s">
        <v>359</v>
      </c>
      <c r="B715" s="7" t="s">
        <v>360</v>
      </c>
      <c r="C715" s="7" t="s">
        <v>361</v>
      </c>
      <c r="D715" s="7" t="s">
        <v>1798</v>
      </c>
      <c r="E715" s="7" t="s">
        <v>215</v>
      </c>
      <c r="F715" s="7" t="s">
        <v>1799</v>
      </c>
    </row>
    <row r="716" customFormat="false" ht="15" hidden="false" customHeight="false" outlineLevel="0" collapsed="false">
      <c r="A716" s="7" t="s">
        <v>359</v>
      </c>
      <c r="B716" s="7" t="s">
        <v>360</v>
      </c>
      <c r="C716" s="7" t="s">
        <v>361</v>
      </c>
      <c r="D716" s="7" t="s">
        <v>1800</v>
      </c>
      <c r="E716" s="7" t="s">
        <v>250</v>
      </c>
      <c r="F716" s="7" t="s">
        <v>1801</v>
      </c>
    </row>
    <row r="717" customFormat="false" ht="15" hidden="false" customHeight="false" outlineLevel="0" collapsed="false">
      <c r="A717" s="7" t="s">
        <v>359</v>
      </c>
      <c r="B717" s="7" t="s">
        <v>360</v>
      </c>
      <c r="C717" s="7" t="s">
        <v>361</v>
      </c>
      <c r="D717" s="7" t="s">
        <v>1802</v>
      </c>
      <c r="E717" s="7" t="s">
        <v>197</v>
      </c>
      <c r="F717" s="7" t="s">
        <v>1803</v>
      </c>
    </row>
    <row r="718" customFormat="false" ht="15" hidden="false" customHeight="false" outlineLevel="0" collapsed="false">
      <c r="A718" s="7" t="s">
        <v>359</v>
      </c>
      <c r="B718" s="7" t="s">
        <v>360</v>
      </c>
      <c r="C718" s="7" t="s">
        <v>361</v>
      </c>
      <c r="D718" s="7" t="s">
        <v>1804</v>
      </c>
      <c r="E718" s="7" t="s">
        <v>292</v>
      </c>
      <c r="F718" s="7" t="s">
        <v>1805</v>
      </c>
    </row>
    <row r="719" customFormat="false" ht="15" hidden="false" customHeight="false" outlineLevel="0" collapsed="false">
      <c r="A719" s="7" t="s">
        <v>359</v>
      </c>
      <c r="B719" s="7" t="s">
        <v>360</v>
      </c>
      <c r="C719" s="7" t="s">
        <v>361</v>
      </c>
      <c r="D719" s="7" t="s">
        <v>1806</v>
      </c>
      <c r="E719" s="7" t="s">
        <v>69</v>
      </c>
      <c r="F719" s="7" t="s">
        <v>1807</v>
      </c>
    </row>
    <row r="720" customFormat="false" ht="15" hidden="false" customHeight="false" outlineLevel="0" collapsed="false">
      <c r="A720" s="7" t="s">
        <v>359</v>
      </c>
      <c r="B720" s="7" t="s">
        <v>360</v>
      </c>
      <c r="C720" s="7" t="s">
        <v>361</v>
      </c>
      <c r="D720" s="7" t="s">
        <v>1808</v>
      </c>
      <c r="E720" s="7" t="s">
        <v>49</v>
      </c>
      <c r="F720" s="7" t="s">
        <v>1809</v>
      </c>
    </row>
    <row r="721" customFormat="false" ht="15" hidden="false" customHeight="false" outlineLevel="0" collapsed="false">
      <c r="A721" s="7" t="s">
        <v>359</v>
      </c>
      <c r="B721" s="7" t="s">
        <v>360</v>
      </c>
      <c r="C721" s="7" t="s">
        <v>361</v>
      </c>
      <c r="D721" s="7" t="s">
        <v>1810</v>
      </c>
      <c r="E721" s="7" t="s">
        <v>279</v>
      </c>
      <c r="F721" s="7" t="s">
        <v>1811</v>
      </c>
    </row>
    <row r="722" customFormat="false" ht="15" hidden="false" customHeight="false" outlineLevel="0" collapsed="false">
      <c r="A722" s="7" t="s">
        <v>359</v>
      </c>
      <c r="B722" s="7" t="s">
        <v>360</v>
      </c>
      <c r="C722" s="7" t="s">
        <v>361</v>
      </c>
      <c r="D722" s="7" t="s">
        <v>1812</v>
      </c>
      <c r="E722" s="7" t="s">
        <v>137</v>
      </c>
      <c r="F722" s="7" t="s">
        <v>1813</v>
      </c>
    </row>
    <row r="723" customFormat="false" ht="15" hidden="false" customHeight="false" outlineLevel="0" collapsed="false">
      <c r="A723" s="7" t="s">
        <v>359</v>
      </c>
      <c r="B723" s="7" t="s">
        <v>360</v>
      </c>
      <c r="C723" s="7" t="s">
        <v>361</v>
      </c>
      <c r="D723" s="7" t="s">
        <v>1814</v>
      </c>
      <c r="E723" s="7" t="s">
        <v>296</v>
      </c>
      <c r="F723" s="7" t="s">
        <v>1815</v>
      </c>
    </row>
    <row r="724" customFormat="false" ht="15" hidden="false" customHeight="false" outlineLevel="0" collapsed="false">
      <c r="A724" s="7" t="s">
        <v>359</v>
      </c>
      <c r="B724" s="7" t="s">
        <v>360</v>
      </c>
      <c r="C724" s="7" t="s">
        <v>361</v>
      </c>
      <c r="D724" s="7" t="s">
        <v>1816</v>
      </c>
      <c r="E724" s="7" t="s">
        <v>289</v>
      </c>
      <c r="F724" s="7" t="s">
        <v>1817</v>
      </c>
    </row>
    <row r="725" customFormat="false" ht="15" hidden="false" customHeight="false" outlineLevel="0" collapsed="false">
      <c r="A725" s="7" t="s">
        <v>359</v>
      </c>
      <c r="B725" s="7" t="s">
        <v>360</v>
      </c>
      <c r="C725" s="7" t="s">
        <v>361</v>
      </c>
      <c r="D725" s="7" t="s">
        <v>1818</v>
      </c>
      <c r="E725" s="7" t="s">
        <v>57</v>
      </c>
      <c r="F725" s="7" t="s">
        <v>1819</v>
      </c>
    </row>
    <row r="726" customFormat="false" ht="15" hidden="false" customHeight="false" outlineLevel="0" collapsed="false">
      <c r="A726" s="7" t="s">
        <v>359</v>
      </c>
      <c r="B726" s="7" t="s">
        <v>360</v>
      </c>
      <c r="C726" s="7" t="s">
        <v>361</v>
      </c>
      <c r="D726" s="7" t="s">
        <v>1820</v>
      </c>
      <c r="E726" s="7" t="s">
        <v>303</v>
      </c>
      <c r="F726" s="7" t="s">
        <v>1821</v>
      </c>
    </row>
    <row r="727" customFormat="false" ht="15" hidden="false" customHeight="false" outlineLevel="0" collapsed="false">
      <c r="A727" s="7" t="s">
        <v>359</v>
      </c>
      <c r="B727" s="7" t="s">
        <v>360</v>
      </c>
      <c r="C727" s="7" t="s">
        <v>361</v>
      </c>
      <c r="D727" s="7" t="s">
        <v>1822</v>
      </c>
      <c r="E727" s="7" t="s">
        <v>59</v>
      </c>
      <c r="F727" s="7" t="s">
        <v>1823</v>
      </c>
    </row>
    <row r="728" customFormat="false" ht="15" hidden="false" customHeight="false" outlineLevel="0" collapsed="false">
      <c r="A728" s="7" t="s">
        <v>359</v>
      </c>
      <c r="B728" s="7" t="s">
        <v>360</v>
      </c>
      <c r="C728" s="7" t="s">
        <v>361</v>
      </c>
      <c r="D728" s="7" t="s">
        <v>1824</v>
      </c>
      <c r="E728" s="7" t="s">
        <v>192</v>
      </c>
      <c r="F728" s="7" t="s">
        <v>1825</v>
      </c>
    </row>
    <row r="729" customFormat="false" ht="15" hidden="false" customHeight="false" outlineLevel="0" collapsed="false">
      <c r="A729" s="7" t="s">
        <v>359</v>
      </c>
      <c r="B729" s="7" t="s">
        <v>360</v>
      </c>
      <c r="C729" s="7" t="s">
        <v>361</v>
      </c>
      <c r="D729" s="7" t="s">
        <v>1826</v>
      </c>
      <c r="E729" s="7" t="s">
        <v>142</v>
      </c>
      <c r="F729" s="7" t="s">
        <v>1827</v>
      </c>
    </row>
    <row r="730" customFormat="false" ht="15" hidden="false" customHeight="false" outlineLevel="0" collapsed="false">
      <c r="A730" s="7" t="s">
        <v>359</v>
      </c>
      <c r="B730" s="7" t="s">
        <v>360</v>
      </c>
      <c r="C730" s="7" t="s">
        <v>361</v>
      </c>
      <c r="D730" s="7" t="s">
        <v>1828</v>
      </c>
      <c r="E730" s="7" t="s">
        <v>350</v>
      </c>
      <c r="F730" s="7" t="s">
        <v>1829</v>
      </c>
    </row>
    <row r="731" customFormat="false" ht="15" hidden="false" customHeight="false" outlineLevel="0" collapsed="false">
      <c r="A731" s="7" t="s">
        <v>359</v>
      </c>
      <c r="B731" s="7" t="s">
        <v>360</v>
      </c>
      <c r="C731" s="7" t="s">
        <v>361</v>
      </c>
      <c r="D731" s="7" t="s">
        <v>1830</v>
      </c>
      <c r="E731" s="7" t="s">
        <v>151</v>
      </c>
      <c r="F731" s="7" t="s">
        <v>1831</v>
      </c>
    </row>
    <row r="732" customFormat="false" ht="15" hidden="false" customHeight="false" outlineLevel="0" collapsed="false">
      <c r="A732" s="7" t="s">
        <v>359</v>
      </c>
      <c r="B732" s="7" t="s">
        <v>360</v>
      </c>
      <c r="C732" s="7" t="s">
        <v>361</v>
      </c>
      <c r="D732" s="7" t="s">
        <v>1832</v>
      </c>
      <c r="E732" s="7" t="s">
        <v>235</v>
      </c>
      <c r="F732" s="7" t="s">
        <v>1833</v>
      </c>
    </row>
    <row r="733" customFormat="false" ht="15" hidden="false" customHeight="false" outlineLevel="0" collapsed="false">
      <c r="A733" s="7" t="s">
        <v>359</v>
      </c>
      <c r="B733" s="7" t="s">
        <v>360</v>
      </c>
      <c r="C733" s="7" t="s">
        <v>361</v>
      </c>
      <c r="D733" s="7" t="s">
        <v>1834</v>
      </c>
      <c r="E733" s="7" t="s">
        <v>228</v>
      </c>
      <c r="F733" s="7" t="s">
        <v>1835</v>
      </c>
    </row>
    <row r="734" customFormat="false" ht="15" hidden="false" customHeight="false" outlineLevel="0" collapsed="false">
      <c r="A734" s="7" t="s">
        <v>359</v>
      </c>
      <c r="B734" s="7" t="s">
        <v>360</v>
      </c>
      <c r="C734" s="7" t="s">
        <v>361</v>
      </c>
      <c r="D734" s="7" t="s">
        <v>1836</v>
      </c>
      <c r="E734" s="7" t="s">
        <v>312</v>
      </c>
      <c r="F734" s="7" t="s">
        <v>1837</v>
      </c>
    </row>
    <row r="735" customFormat="false" ht="15" hidden="false" customHeight="false" outlineLevel="0" collapsed="false">
      <c r="A735" s="7" t="s">
        <v>359</v>
      </c>
      <c r="B735" s="7" t="s">
        <v>360</v>
      </c>
      <c r="C735" s="7" t="s">
        <v>361</v>
      </c>
      <c r="D735" s="7" t="s">
        <v>1838</v>
      </c>
      <c r="E735" s="7" t="s">
        <v>155</v>
      </c>
      <c r="F735" s="7" t="s">
        <v>1839</v>
      </c>
    </row>
    <row r="736" customFormat="false" ht="15" hidden="false" customHeight="false" outlineLevel="0" collapsed="false">
      <c r="A736" s="7" t="s">
        <v>359</v>
      </c>
      <c r="B736" s="7" t="s">
        <v>360</v>
      </c>
      <c r="C736" s="7" t="s">
        <v>361</v>
      </c>
      <c r="D736" s="7" t="s">
        <v>1840</v>
      </c>
      <c r="E736" s="7" t="s">
        <v>338</v>
      </c>
      <c r="F736" s="7" t="s">
        <v>1841</v>
      </c>
    </row>
    <row r="737" customFormat="false" ht="15" hidden="false" customHeight="false" outlineLevel="0" collapsed="false">
      <c r="A737" s="7" t="s">
        <v>359</v>
      </c>
      <c r="B737" s="7" t="s">
        <v>360</v>
      </c>
      <c r="C737" s="7" t="s">
        <v>361</v>
      </c>
      <c r="D737" s="7" t="s">
        <v>1842</v>
      </c>
      <c r="E737" s="7" t="s">
        <v>248</v>
      </c>
      <c r="F737" s="7" t="s">
        <v>1843</v>
      </c>
    </row>
    <row r="738" customFormat="false" ht="15" hidden="false" customHeight="false" outlineLevel="0" collapsed="false">
      <c r="A738" s="7" t="s">
        <v>359</v>
      </c>
      <c r="B738" s="7" t="s">
        <v>360</v>
      </c>
      <c r="C738" s="7" t="s">
        <v>361</v>
      </c>
      <c r="D738" s="7" t="s">
        <v>1844</v>
      </c>
      <c r="E738" s="7" t="s">
        <v>118</v>
      </c>
      <c r="F738" s="7" t="s">
        <v>1845</v>
      </c>
    </row>
    <row r="739" customFormat="false" ht="15" hidden="false" customHeight="false" outlineLevel="0" collapsed="false">
      <c r="A739" s="7" t="s">
        <v>359</v>
      </c>
      <c r="B739" s="7" t="s">
        <v>360</v>
      </c>
      <c r="C739" s="7" t="s">
        <v>361</v>
      </c>
      <c r="D739" s="7" t="s">
        <v>1846</v>
      </c>
      <c r="E739" s="7" t="s">
        <v>210</v>
      </c>
      <c r="F739" s="7" t="s">
        <v>1847</v>
      </c>
    </row>
    <row r="740" customFormat="false" ht="15" hidden="false" customHeight="false" outlineLevel="0" collapsed="false">
      <c r="A740" s="7" t="s">
        <v>359</v>
      </c>
      <c r="B740" s="7" t="s">
        <v>360</v>
      </c>
      <c r="C740" s="7" t="s">
        <v>361</v>
      </c>
      <c r="D740" s="7" t="s">
        <v>1848</v>
      </c>
      <c r="E740" s="7" t="s">
        <v>120</v>
      </c>
      <c r="F740" s="7" t="s">
        <v>1849</v>
      </c>
    </row>
    <row r="741" customFormat="false" ht="15" hidden="false" customHeight="false" outlineLevel="0" collapsed="false">
      <c r="A741" s="7" t="s">
        <v>359</v>
      </c>
      <c r="B741" s="7" t="s">
        <v>360</v>
      </c>
      <c r="C741" s="7" t="s">
        <v>361</v>
      </c>
      <c r="D741" s="7" t="s">
        <v>1850</v>
      </c>
      <c r="E741" s="7" t="s">
        <v>302</v>
      </c>
      <c r="F741" s="7" t="s">
        <v>1851</v>
      </c>
    </row>
    <row r="742" customFormat="false" ht="15" hidden="false" customHeight="false" outlineLevel="0" collapsed="false">
      <c r="A742" s="7" t="s">
        <v>359</v>
      </c>
      <c r="B742" s="7" t="s">
        <v>360</v>
      </c>
      <c r="C742" s="7" t="s">
        <v>361</v>
      </c>
      <c r="D742" s="7" t="s">
        <v>1852</v>
      </c>
      <c r="E742" s="7" t="s">
        <v>328</v>
      </c>
      <c r="F742" s="7" t="s">
        <v>1853</v>
      </c>
    </row>
    <row r="743" customFormat="false" ht="15" hidden="false" customHeight="false" outlineLevel="0" collapsed="false">
      <c r="A743" s="7" t="s">
        <v>359</v>
      </c>
      <c r="B743" s="7" t="s">
        <v>360</v>
      </c>
      <c r="C743" s="7" t="s">
        <v>361</v>
      </c>
      <c r="D743" s="7" t="s">
        <v>1854</v>
      </c>
      <c r="E743" s="7" t="s">
        <v>185</v>
      </c>
      <c r="F743" s="7" t="s">
        <v>1855</v>
      </c>
    </row>
    <row r="744" customFormat="false" ht="15" hidden="false" customHeight="false" outlineLevel="0" collapsed="false">
      <c r="A744" s="7" t="s">
        <v>359</v>
      </c>
      <c r="B744" s="7" t="s">
        <v>360</v>
      </c>
      <c r="C744" s="7" t="s">
        <v>361</v>
      </c>
      <c r="D744" s="7" t="s">
        <v>1856</v>
      </c>
      <c r="E744" s="7" t="s">
        <v>309</v>
      </c>
      <c r="F744" s="7" t="s">
        <v>1857</v>
      </c>
    </row>
    <row r="745" customFormat="false" ht="15" hidden="false" customHeight="false" outlineLevel="0" collapsed="false">
      <c r="A745" s="7" t="s">
        <v>359</v>
      </c>
      <c r="B745" s="7" t="s">
        <v>360</v>
      </c>
      <c r="C745" s="7" t="s">
        <v>361</v>
      </c>
      <c r="D745" s="7" t="s">
        <v>1858</v>
      </c>
      <c r="E745" s="7" t="s">
        <v>190</v>
      </c>
      <c r="F745" s="7" t="s">
        <v>1859</v>
      </c>
    </row>
    <row r="746" customFormat="false" ht="15" hidden="false" customHeight="false" outlineLevel="0" collapsed="false">
      <c r="A746" s="7" t="s">
        <v>359</v>
      </c>
      <c r="B746" s="7" t="s">
        <v>360</v>
      </c>
      <c r="C746" s="7" t="s">
        <v>361</v>
      </c>
      <c r="D746" s="7" t="s">
        <v>1860</v>
      </c>
      <c r="E746" s="7" t="s">
        <v>138</v>
      </c>
      <c r="F746" s="7" t="s">
        <v>1861</v>
      </c>
    </row>
    <row r="747" customFormat="false" ht="15" hidden="false" customHeight="false" outlineLevel="0" collapsed="false">
      <c r="A747" s="7" t="s">
        <v>359</v>
      </c>
      <c r="B747" s="7" t="s">
        <v>360</v>
      </c>
      <c r="C747" s="7" t="s">
        <v>361</v>
      </c>
      <c r="D747" s="7" t="s">
        <v>1862</v>
      </c>
      <c r="E747" s="7" t="s">
        <v>320</v>
      </c>
      <c r="F747" s="7" t="s">
        <v>1863</v>
      </c>
    </row>
    <row r="748" customFormat="false" ht="15" hidden="false" customHeight="false" outlineLevel="0" collapsed="false">
      <c r="A748" s="7" t="s">
        <v>359</v>
      </c>
      <c r="B748" s="7" t="s">
        <v>360</v>
      </c>
      <c r="C748" s="7" t="s">
        <v>361</v>
      </c>
      <c r="D748" s="7" t="s">
        <v>1864</v>
      </c>
      <c r="E748" s="7" t="s">
        <v>113</v>
      </c>
      <c r="F748" s="7" t="s">
        <v>1865</v>
      </c>
    </row>
    <row r="749" customFormat="false" ht="15" hidden="false" customHeight="false" outlineLevel="0" collapsed="false">
      <c r="A749" s="7" t="s">
        <v>359</v>
      </c>
      <c r="B749" s="7" t="s">
        <v>360</v>
      </c>
      <c r="C749" s="7" t="s">
        <v>361</v>
      </c>
      <c r="D749" s="7" t="s">
        <v>1866</v>
      </c>
      <c r="E749" s="7" t="s">
        <v>122</v>
      </c>
      <c r="F749" s="7" t="s">
        <v>1867</v>
      </c>
    </row>
    <row r="750" customFormat="false" ht="15" hidden="false" customHeight="false" outlineLevel="0" collapsed="false">
      <c r="A750" s="7" t="s">
        <v>359</v>
      </c>
      <c r="B750" s="7" t="s">
        <v>360</v>
      </c>
      <c r="C750" s="7" t="s">
        <v>361</v>
      </c>
      <c r="D750" s="7" t="s">
        <v>1868</v>
      </c>
      <c r="E750" s="7" t="s">
        <v>201</v>
      </c>
      <c r="F750" s="7" t="s">
        <v>1869</v>
      </c>
    </row>
    <row r="751" customFormat="false" ht="15" hidden="false" customHeight="false" outlineLevel="0" collapsed="false">
      <c r="A751" s="7" t="s">
        <v>359</v>
      </c>
      <c r="B751" s="7" t="s">
        <v>360</v>
      </c>
      <c r="C751" s="7" t="s">
        <v>361</v>
      </c>
      <c r="D751" s="7" t="s">
        <v>1870</v>
      </c>
      <c r="E751" s="7" t="s">
        <v>296</v>
      </c>
      <c r="F751" s="7" t="s">
        <v>1871</v>
      </c>
    </row>
    <row r="752" customFormat="false" ht="15" hidden="false" customHeight="false" outlineLevel="0" collapsed="false">
      <c r="A752" s="7" t="s">
        <v>359</v>
      </c>
      <c r="B752" s="7" t="s">
        <v>360</v>
      </c>
      <c r="C752" s="7" t="s">
        <v>361</v>
      </c>
      <c r="D752" s="7" t="s">
        <v>1872</v>
      </c>
      <c r="E752" s="7" t="s">
        <v>69</v>
      </c>
      <c r="F752" s="7" t="s">
        <v>1873</v>
      </c>
    </row>
    <row r="753" customFormat="false" ht="15" hidden="false" customHeight="false" outlineLevel="0" collapsed="false">
      <c r="A753" s="7" t="s">
        <v>359</v>
      </c>
      <c r="B753" s="7" t="s">
        <v>360</v>
      </c>
      <c r="C753" s="7" t="s">
        <v>361</v>
      </c>
      <c r="D753" s="7" t="s">
        <v>1874</v>
      </c>
      <c r="E753" s="7" t="s">
        <v>254</v>
      </c>
      <c r="F753" s="7" t="s">
        <v>1875</v>
      </c>
    </row>
    <row r="754" customFormat="false" ht="15" hidden="false" customHeight="false" outlineLevel="0" collapsed="false">
      <c r="A754" s="7" t="s">
        <v>359</v>
      </c>
      <c r="B754" s="7" t="s">
        <v>360</v>
      </c>
      <c r="C754" s="7" t="s">
        <v>361</v>
      </c>
      <c r="D754" s="7" t="s">
        <v>1876</v>
      </c>
      <c r="E754" s="7" t="s">
        <v>338</v>
      </c>
      <c r="F754" s="7" t="s">
        <v>1877</v>
      </c>
    </row>
    <row r="755" customFormat="false" ht="15" hidden="false" customHeight="false" outlineLevel="0" collapsed="false">
      <c r="A755" s="7" t="s">
        <v>359</v>
      </c>
      <c r="B755" s="7" t="s">
        <v>360</v>
      </c>
      <c r="C755" s="7" t="s">
        <v>361</v>
      </c>
      <c r="D755" s="7" t="s">
        <v>1878</v>
      </c>
      <c r="E755" s="7" t="s">
        <v>193</v>
      </c>
      <c r="F755" s="7" t="s">
        <v>1879</v>
      </c>
    </row>
    <row r="756" customFormat="false" ht="15" hidden="false" customHeight="false" outlineLevel="0" collapsed="false">
      <c r="A756" s="7" t="s">
        <v>359</v>
      </c>
      <c r="B756" s="7" t="s">
        <v>360</v>
      </c>
      <c r="C756" s="7" t="s">
        <v>361</v>
      </c>
      <c r="D756" s="7" t="s">
        <v>1880</v>
      </c>
      <c r="E756" s="7" t="s">
        <v>216</v>
      </c>
      <c r="F756" s="7" t="s">
        <v>1881</v>
      </c>
    </row>
    <row r="757" customFormat="false" ht="15" hidden="false" customHeight="false" outlineLevel="0" collapsed="false">
      <c r="A757" s="7" t="s">
        <v>359</v>
      </c>
      <c r="B757" s="7" t="s">
        <v>360</v>
      </c>
      <c r="C757" s="7" t="s">
        <v>361</v>
      </c>
      <c r="D757" s="7" t="s">
        <v>1882</v>
      </c>
      <c r="E757" s="7" t="s">
        <v>190</v>
      </c>
      <c r="F757" s="7" t="s">
        <v>1883</v>
      </c>
    </row>
    <row r="758" customFormat="false" ht="15" hidden="false" customHeight="false" outlineLevel="0" collapsed="false">
      <c r="A758" s="7" t="s">
        <v>359</v>
      </c>
      <c r="B758" s="7" t="s">
        <v>360</v>
      </c>
      <c r="C758" s="7" t="s">
        <v>361</v>
      </c>
      <c r="D758" s="7" t="s">
        <v>1884</v>
      </c>
      <c r="E758" s="7" t="s">
        <v>148</v>
      </c>
      <c r="F758" s="7" t="s">
        <v>1885</v>
      </c>
    </row>
    <row r="759" customFormat="false" ht="15" hidden="false" customHeight="false" outlineLevel="0" collapsed="false">
      <c r="A759" s="7" t="s">
        <v>359</v>
      </c>
      <c r="B759" s="7" t="s">
        <v>360</v>
      </c>
      <c r="C759" s="7" t="s">
        <v>361</v>
      </c>
      <c r="D759" s="7" t="s">
        <v>1886</v>
      </c>
      <c r="E759" s="7" t="s">
        <v>327</v>
      </c>
      <c r="F759" s="7" t="s">
        <v>1887</v>
      </c>
    </row>
    <row r="760" customFormat="false" ht="15" hidden="false" customHeight="false" outlineLevel="0" collapsed="false">
      <c r="A760" s="7" t="s">
        <v>359</v>
      </c>
      <c r="B760" s="7" t="s">
        <v>360</v>
      </c>
      <c r="C760" s="7" t="s">
        <v>361</v>
      </c>
      <c r="D760" s="7" t="s">
        <v>1888</v>
      </c>
      <c r="E760" s="7" t="s">
        <v>144</v>
      </c>
      <c r="F760" s="7" t="s">
        <v>1889</v>
      </c>
    </row>
    <row r="761" customFormat="false" ht="15" hidden="false" customHeight="false" outlineLevel="0" collapsed="false">
      <c r="A761" s="7" t="s">
        <v>359</v>
      </c>
      <c r="B761" s="7" t="s">
        <v>360</v>
      </c>
      <c r="C761" s="7" t="s">
        <v>361</v>
      </c>
      <c r="D761" s="7" t="s">
        <v>1890</v>
      </c>
      <c r="E761" s="7" t="s">
        <v>38</v>
      </c>
      <c r="F761" s="7" t="s">
        <v>1891</v>
      </c>
    </row>
    <row r="762" customFormat="false" ht="15" hidden="false" customHeight="false" outlineLevel="0" collapsed="false">
      <c r="A762" s="7" t="s">
        <v>359</v>
      </c>
      <c r="B762" s="7" t="s">
        <v>360</v>
      </c>
      <c r="C762" s="7" t="s">
        <v>361</v>
      </c>
      <c r="D762" s="7" t="s">
        <v>1892</v>
      </c>
      <c r="E762" s="7" t="s">
        <v>216</v>
      </c>
      <c r="F762" s="7" t="s">
        <v>1893</v>
      </c>
    </row>
    <row r="763" customFormat="false" ht="15" hidden="false" customHeight="false" outlineLevel="0" collapsed="false">
      <c r="A763" s="7" t="s">
        <v>359</v>
      </c>
      <c r="B763" s="7" t="s">
        <v>360</v>
      </c>
      <c r="C763" s="7" t="s">
        <v>361</v>
      </c>
      <c r="D763" s="7" t="s">
        <v>1894</v>
      </c>
      <c r="E763" s="7" t="s">
        <v>57</v>
      </c>
      <c r="F763" s="7" t="s">
        <v>1895</v>
      </c>
    </row>
    <row r="764" customFormat="false" ht="15" hidden="false" customHeight="false" outlineLevel="0" collapsed="false">
      <c r="A764" s="7" t="s">
        <v>359</v>
      </c>
      <c r="B764" s="7" t="s">
        <v>360</v>
      </c>
      <c r="C764" s="7" t="s">
        <v>361</v>
      </c>
      <c r="D764" s="7" t="s">
        <v>1896</v>
      </c>
      <c r="E764" s="7" t="s">
        <v>81</v>
      </c>
      <c r="F764" s="7" t="s">
        <v>1897</v>
      </c>
    </row>
    <row r="765" customFormat="false" ht="15" hidden="false" customHeight="false" outlineLevel="0" collapsed="false">
      <c r="A765" s="7" t="s">
        <v>359</v>
      </c>
      <c r="B765" s="7" t="s">
        <v>360</v>
      </c>
      <c r="C765" s="7" t="s">
        <v>361</v>
      </c>
      <c r="D765" s="7" t="s">
        <v>1898</v>
      </c>
      <c r="E765" s="7" t="s">
        <v>267</v>
      </c>
      <c r="F765" s="7" t="s">
        <v>1899</v>
      </c>
    </row>
    <row r="766" customFormat="false" ht="15" hidden="false" customHeight="false" outlineLevel="0" collapsed="false">
      <c r="A766" s="7" t="s">
        <v>359</v>
      </c>
      <c r="B766" s="7" t="s">
        <v>360</v>
      </c>
      <c r="C766" s="7" t="s">
        <v>361</v>
      </c>
      <c r="D766" s="7" t="s">
        <v>1900</v>
      </c>
      <c r="E766" s="7" t="s">
        <v>197</v>
      </c>
      <c r="F766" s="7" t="s">
        <v>1901</v>
      </c>
    </row>
    <row r="767" customFormat="false" ht="15" hidden="false" customHeight="false" outlineLevel="0" collapsed="false">
      <c r="A767" s="7" t="s">
        <v>359</v>
      </c>
      <c r="B767" s="7" t="s">
        <v>360</v>
      </c>
      <c r="C767" s="7" t="s">
        <v>361</v>
      </c>
      <c r="D767" s="7" t="s">
        <v>1902</v>
      </c>
      <c r="E767" s="7" t="s">
        <v>314</v>
      </c>
      <c r="F767" s="7" t="s">
        <v>1903</v>
      </c>
    </row>
    <row r="768" customFormat="false" ht="15" hidden="false" customHeight="false" outlineLevel="0" collapsed="false">
      <c r="A768" s="7" t="s">
        <v>359</v>
      </c>
      <c r="B768" s="7" t="s">
        <v>360</v>
      </c>
      <c r="C768" s="7" t="s">
        <v>361</v>
      </c>
      <c r="D768" s="7" t="s">
        <v>1904</v>
      </c>
      <c r="E768" s="7" t="s">
        <v>159</v>
      </c>
      <c r="F768" s="7" t="s">
        <v>1905</v>
      </c>
    </row>
    <row r="769" customFormat="false" ht="15" hidden="false" customHeight="false" outlineLevel="0" collapsed="false">
      <c r="A769" s="7" t="s">
        <v>359</v>
      </c>
      <c r="B769" s="7" t="s">
        <v>360</v>
      </c>
      <c r="C769" s="7" t="s">
        <v>361</v>
      </c>
      <c r="D769" s="7" t="s">
        <v>1906</v>
      </c>
      <c r="E769" s="7" t="s">
        <v>291</v>
      </c>
      <c r="F769" s="7" t="s">
        <v>1907</v>
      </c>
    </row>
    <row r="770" customFormat="false" ht="15" hidden="false" customHeight="false" outlineLevel="0" collapsed="false">
      <c r="A770" s="7" t="s">
        <v>359</v>
      </c>
      <c r="B770" s="7" t="s">
        <v>360</v>
      </c>
      <c r="C770" s="7" t="s">
        <v>361</v>
      </c>
      <c r="D770" s="7" t="s">
        <v>1908</v>
      </c>
      <c r="E770" s="7" t="s">
        <v>167</v>
      </c>
      <c r="F770" s="7" t="s">
        <v>1909</v>
      </c>
    </row>
    <row r="771" customFormat="false" ht="15" hidden="false" customHeight="false" outlineLevel="0" collapsed="false">
      <c r="A771" s="7" t="s">
        <v>359</v>
      </c>
      <c r="B771" s="7" t="s">
        <v>360</v>
      </c>
      <c r="C771" s="7" t="s">
        <v>361</v>
      </c>
      <c r="D771" s="7" t="s">
        <v>1910</v>
      </c>
      <c r="E771" s="7" t="s">
        <v>56</v>
      </c>
      <c r="F771" s="7" t="s">
        <v>1911</v>
      </c>
    </row>
    <row r="772" customFormat="false" ht="15" hidden="false" customHeight="false" outlineLevel="0" collapsed="false">
      <c r="A772" s="7" t="s">
        <v>359</v>
      </c>
      <c r="B772" s="7" t="s">
        <v>360</v>
      </c>
      <c r="C772" s="7" t="s">
        <v>361</v>
      </c>
      <c r="D772" s="7" t="s">
        <v>1912</v>
      </c>
      <c r="E772" s="7" t="s">
        <v>248</v>
      </c>
      <c r="F772" s="7" t="s">
        <v>1913</v>
      </c>
    </row>
    <row r="773" customFormat="false" ht="15" hidden="false" customHeight="false" outlineLevel="0" collapsed="false">
      <c r="A773" s="7" t="s">
        <v>359</v>
      </c>
      <c r="B773" s="7" t="s">
        <v>360</v>
      </c>
      <c r="C773" s="7" t="s">
        <v>361</v>
      </c>
      <c r="D773" s="7" t="s">
        <v>1914</v>
      </c>
      <c r="E773" s="7" t="s">
        <v>275</v>
      </c>
      <c r="F773" s="7" t="s">
        <v>1915</v>
      </c>
    </row>
    <row r="774" customFormat="false" ht="15" hidden="false" customHeight="false" outlineLevel="0" collapsed="false">
      <c r="A774" s="7" t="s">
        <v>359</v>
      </c>
      <c r="B774" s="7" t="s">
        <v>360</v>
      </c>
      <c r="C774" s="7" t="s">
        <v>361</v>
      </c>
      <c r="D774" s="7" t="s">
        <v>1916</v>
      </c>
      <c r="E774" s="7" t="s">
        <v>63</v>
      </c>
      <c r="F774" s="7" t="s">
        <v>1917</v>
      </c>
    </row>
    <row r="775" customFormat="false" ht="15" hidden="false" customHeight="false" outlineLevel="0" collapsed="false">
      <c r="A775" s="7" t="s">
        <v>359</v>
      </c>
      <c r="B775" s="7" t="s">
        <v>360</v>
      </c>
      <c r="C775" s="7" t="s">
        <v>361</v>
      </c>
      <c r="D775" s="7" t="s">
        <v>1918</v>
      </c>
      <c r="E775" s="7" t="s">
        <v>340</v>
      </c>
      <c r="F775" s="7" t="s">
        <v>1919</v>
      </c>
    </row>
    <row r="776" customFormat="false" ht="15" hidden="false" customHeight="false" outlineLevel="0" collapsed="false">
      <c r="A776" s="7" t="s">
        <v>359</v>
      </c>
      <c r="B776" s="7" t="s">
        <v>360</v>
      </c>
      <c r="C776" s="7" t="s">
        <v>361</v>
      </c>
      <c r="D776" s="7" t="s">
        <v>1920</v>
      </c>
      <c r="E776" s="7" t="s">
        <v>332</v>
      </c>
      <c r="F776" s="7" t="s">
        <v>1921</v>
      </c>
    </row>
    <row r="777" customFormat="false" ht="15" hidden="false" customHeight="false" outlineLevel="0" collapsed="false">
      <c r="A777" s="7" t="s">
        <v>359</v>
      </c>
      <c r="B777" s="7" t="s">
        <v>360</v>
      </c>
      <c r="C777" s="7" t="s">
        <v>361</v>
      </c>
      <c r="D777" s="7" t="s">
        <v>1922</v>
      </c>
      <c r="E777" s="7" t="s">
        <v>79</v>
      </c>
      <c r="F777" s="7" t="s">
        <v>1923</v>
      </c>
    </row>
    <row r="778" customFormat="false" ht="15" hidden="false" customHeight="false" outlineLevel="0" collapsed="false">
      <c r="A778" s="7" t="s">
        <v>359</v>
      </c>
      <c r="B778" s="7" t="s">
        <v>360</v>
      </c>
      <c r="C778" s="7" t="s">
        <v>361</v>
      </c>
      <c r="D778" s="7" t="s">
        <v>1924</v>
      </c>
      <c r="E778" s="7" t="s">
        <v>190</v>
      </c>
      <c r="F778" s="7" t="s">
        <v>1925</v>
      </c>
    </row>
    <row r="779" customFormat="false" ht="15" hidden="false" customHeight="false" outlineLevel="0" collapsed="false">
      <c r="A779" s="7" t="s">
        <v>359</v>
      </c>
      <c r="B779" s="7" t="s">
        <v>360</v>
      </c>
      <c r="C779" s="7" t="s">
        <v>361</v>
      </c>
      <c r="D779" s="7" t="s">
        <v>1926</v>
      </c>
      <c r="E779" s="7" t="s">
        <v>340</v>
      </c>
      <c r="F779" s="7" t="s">
        <v>1927</v>
      </c>
    </row>
    <row r="780" customFormat="false" ht="15" hidden="false" customHeight="false" outlineLevel="0" collapsed="false">
      <c r="A780" s="7" t="s">
        <v>359</v>
      </c>
      <c r="B780" s="7" t="s">
        <v>360</v>
      </c>
      <c r="C780" s="7" t="s">
        <v>361</v>
      </c>
      <c r="D780" s="7" t="s">
        <v>1928</v>
      </c>
      <c r="E780" s="7" t="s">
        <v>312</v>
      </c>
      <c r="F780" s="7" t="s">
        <v>1929</v>
      </c>
    </row>
    <row r="781" customFormat="false" ht="15" hidden="false" customHeight="false" outlineLevel="0" collapsed="false">
      <c r="A781" s="7" t="s">
        <v>359</v>
      </c>
      <c r="B781" s="7" t="s">
        <v>360</v>
      </c>
      <c r="C781" s="7" t="s">
        <v>361</v>
      </c>
      <c r="D781" s="7" t="s">
        <v>1930</v>
      </c>
      <c r="E781" s="7" t="s">
        <v>201</v>
      </c>
      <c r="F781" s="7" t="s">
        <v>1931</v>
      </c>
    </row>
    <row r="782" customFormat="false" ht="15" hidden="false" customHeight="false" outlineLevel="0" collapsed="false">
      <c r="A782" s="7" t="s">
        <v>359</v>
      </c>
      <c r="B782" s="7" t="s">
        <v>360</v>
      </c>
      <c r="C782" s="7" t="s">
        <v>361</v>
      </c>
      <c r="D782" s="7" t="s">
        <v>1932</v>
      </c>
      <c r="E782" s="7" t="s">
        <v>218</v>
      </c>
      <c r="F782" s="7" t="s">
        <v>1933</v>
      </c>
    </row>
    <row r="783" customFormat="false" ht="15" hidden="false" customHeight="false" outlineLevel="0" collapsed="false">
      <c r="A783" s="7" t="s">
        <v>359</v>
      </c>
      <c r="B783" s="7" t="s">
        <v>360</v>
      </c>
      <c r="C783" s="7" t="s">
        <v>361</v>
      </c>
      <c r="D783" s="7" t="s">
        <v>1934</v>
      </c>
      <c r="E783" s="7" t="s">
        <v>252</v>
      </c>
      <c r="F783" s="7" t="s">
        <v>1935</v>
      </c>
    </row>
    <row r="784" customFormat="false" ht="15" hidden="false" customHeight="false" outlineLevel="0" collapsed="false">
      <c r="A784" s="7" t="s">
        <v>359</v>
      </c>
      <c r="B784" s="7" t="s">
        <v>360</v>
      </c>
      <c r="C784" s="7" t="s">
        <v>361</v>
      </c>
      <c r="D784" s="7" t="s">
        <v>1936</v>
      </c>
      <c r="E784" s="7" t="s">
        <v>318</v>
      </c>
      <c r="F784" s="7" t="s">
        <v>1937</v>
      </c>
    </row>
    <row r="785" customFormat="false" ht="15" hidden="false" customHeight="false" outlineLevel="0" collapsed="false">
      <c r="A785" s="7" t="s">
        <v>359</v>
      </c>
      <c r="B785" s="7" t="s">
        <v>360</v>
      </c>
      <c r="C785" s="7" t="s">
        <v>361</v>
      </c>
      <c r="D785" s="7" t="s">
        <v>1938</v>
      </c>
      <c r="E785" s="7" t="s">
        <v>63</v>
      </c>
      <c r="F785" s="7" t="s">
        <v>1939</v>
      </c>
    </row>
    <row r="786" customFormat="false" ht="15" hidden="false" customHeight="false" outlineLevel="0" collapsed="false">
      <c r="A786" s="7" t="s">
        <v>359</v>
      </c>
      <c r="B786" s="7" t="s">
        <v>360</v>
      </c>
      <c r="C786" s="7" t="s">
        <v>361</v>
      </c>
      <c r="D786" s="7" t="s">
        <v>1940</v>
      </c>
      <c r="E786" s="7" t="s">
        <v>163</v>
      </c>
      <c r="F786" s="7" t="s">
        <v>1941</v>
      </c>
    </row>
    <row r="787" customFormat="false" ht="15" hidden="false" customHeight="false" outlineLevel="0" collapsed="false">
      <c r="A787" s="7" t="s">
        <v>359</v>
      </c>
      <c r="B787" s="7" t="s">
        <v>360</v>
      </c>
      <c r="C787" s="7" t="s">
        <v>361</v>
      </c>
      <c r="D787" s="7" t="s">
        <v>1942</v>
      </c>
      <c r="E787" s="7" t="s">
        <v>294</v>
      </c>
      <c r="F787" s="7" t="s">
        <v>1943</v>
      </c>
    </row>
    <row r="788" customFormat="false" ht="15" hidden="false" customHeight="false" outlineLevel="0" collapsed="false">
      <c r="A788" s="7" t="s">
        <v>359</v>
      </c>
      <c r="B788" s="7" t="s">
        <v>360</v>
      </c>
      <c r="C788" s="7" t="s">
        <v>361</v>
      </c>
      <c r="D788" s="7" t="s">
        <v>1944</v>
      </c>
      <c r="E788" s="7" t="s">
        <v>242</v>
      </c>
      <c r="F788" s="7" t="s">
        <v>1945</v>
      </c>
    </row>
    <row r="789" customFormat="false" ht="15" hidden="false" customHeight="false" outlineLevel="0" collapsed="false">
      <c r="A789" s="7" t="s">
        <v>359</v>
      </c>
      <c r="B789" s="7" t="s">
        <v>360</v>
      </c>
      <c r="C789" s="7" t="s">
        <v>361</v>
      </c>
      <c r="D789" s="7" t="s">
        <v>1946</v>
      </c>
      <c r="E789" s="7" t="s">
        <v>279</v>
      </c>
      <c r="F789" s="7" t="s">
        <v>1947</v>
      </c>
    </row>
    <row r="790" customFormat="false" ht="15" hidden="false" customHeight="false" outlineLevel="0" collapsed="false">
      <c r="A790" s="7" t="s">
        <v>359</v>
      </c>
      <c r="B790" s="7" t="s">
        <v>360</v>
      </c>
      <c r="C790" s="7" t="s">
        <v>361</v>
      </c>
      <c r="D790" s="7" t="s">
        <v>1948</v>
      </c>
      <c r="E790" s="7" t="s">
        <v>203</v>
      </c>
      <c r="F790" s="7" t="s">
        <v>1949</v>
      </c>
    </row>
    <row r="791" customFormat="false" ht="15" hidden="false" customHeight="false" outlineLevel="0" collapsed="false">
      <c r="A791" s="7" t="s">
        <v>359</v>
      </c>
      <c r="B791" s="7" t="s">
        <v>360</v>
      </c>
      <c r="C791" s="7" t="s">
        <v>361</v>
      </c>
      <c r="D791" s="7" t="s">
        <v>1950</v>
      </c>
      <c r="E791" s="7" t="s">
        <v>301</v>
      </c>
      <c r="F791" s="7" t="s">
        <v>1951</v>
      </c>
    </row>
    <row r="792" customFormat="false" ht="15" hidden="false" customHeight="false" outlineLevel="0" collapsed="false">
      <c r="A792" s="7" t="s">
        <v>359</v>
      </c>
      <c r="B792" s="7" t="s">
        <v>360</v>
      </c>
      <c r="C792" s="7" t="s">
        <v>361</v>
      </c>
      <c r="D792" s="7" t="s">
        <v>1952</v>
      </c>
      <c r="E792" s="7" t="s">
        <v>130</v>
      </c>
      <c r="F792" s="7" t="s">
        <v>1953</v>
      </c>
    </row>
    <row r="793" customFormat="false" ht="15" hidden="false" customHeight="false" outlineLevel="0" collapsed="false">
      <c r="A793" s="7" t="s">
        <v>359</v>
      </c>
      <c r="B793" s="7" t="s">
        <v>360</v>
      </c>
      <c r="C793" s="7" t="s">
        <v>361</v>
      </c>
      <c r="D793" s="7" t="s">
        <v>1954</v>
      </c>
      <c r="E793" s="7" t="s">
        <v>31</v>
      </c>
      <c r="F793" s="7" t="s">
        <v>1955</v>
      </c>
    </row>
    <row r="794" customFormat="false" ht="15" hidden="false" customHeight="false" outlineLevel="0" collapsed="false">
      <c r="A794" s="7" t="s">
        <v>359</v>
      </c>
      <c r="B794" s="7" t="s">
        <v>360</v>
      </c>
      <c r="C794" s="7" t="s">
        <v>361</v>
      </c>
      <c r="D794" s="7" t="s">
        <v>1956</v>
      </c>
      <c r="E794" s="7" t="s">
        <v>71</v>
      </c>
      <c r="F794" s="7" t="s">
        <v>1957</v>
      </c>
    </row>
    <row r="795" customFormat="false" ht="15" hidden="false" customHeight="false" outlineLevel="0" collapsed="false">
      <c r="A795" s="7" t="s">
        <v>359</v>
      </c>
      <c r="B795" s="7" t="s">
        <v>360</v>
      </c>
      <c r="C795" s="7" t="s">
        <v>361</v>
      </c>
      <c r="D795" s="7" t="s">
        <v>1958</v>
      </c>
      <c r="E795" s="7" t="s">
        <v>63</v>
      </c>
      <c r="F795" s="7" t="s">
        <v>1959</v>
      </c>
    </row>
    <row r="796" customFormat="false" ht="15" hidden="false" customHeight="false" outlineLevel="0" collapsed="false">
      <c r="A796" s="7" t="s">
        <v>359</v>
      </c>
      <c r="B796" s="7" t="s">
        <v>360</v>
      </c>
      <c r="C796" s="7" t="s">
        <v>361</v>
      </c>
      <c r="D796" s="7" t="s">
        <v>1960</v>
      </c>
      <c r="E796" s="7" t="s">
        <v>35</v>
      </c>
      <c r="F796" s="7" t="s">
        <v>1961</v>
      </c>
    </row>
    <row r="797" customFormat="false" ht="15" hidden="false" customHeight="false" outlineLevel="0" collapsed="false">
      <c r="A797" s="7" t="s">
        <v>359</v>
      </c>
      <c r="B797" s="7" t="s">
        <v>360</v>
      </c>
      <c r="C797" s="7" t="s">
        <v>361</v>
      </c>
      <c r="D797" s="7" t="s">
        <v>1962</v>
      </c>
      <c r="E797" s="7" t="s">
        <v>216</v>
      </c>
      <c r="F797" s="7" t="s">
        <v>1963</v>
      </c>
    </row>
    <row r="798" customFormat="false" ht="15" hidden="false" customHeight="false" outlineLevel="0" collapsed="false">
      <c r="A798" s="7" t="s">
        <v>359</v>
      </c>
      <c r="B798" s="7" t="s">
        <v>360</v>
      </c>
      <c r="C798" s="7" t="s">
        <v>361</v>
      </c>
      <c r="D798" s="7" t="s">
        <v>1964</v>
      </c>
      <c r="E798" s="7" t="s">
        <v>287</v>
      </c>
      <c r="F798" s="7" t="s">
        <v>1965</v>
      </c>
    </row>
    <row r="799" customFormat="false" ht="15" hidden="false" customHeight="false" outlineLevel="0" collapsed="false">
      <c r="A799" s="7" t="s">
        <v>359</v>
      </c>
      <c r="B799" s="7" t="s">
        <v>360</v>
      </c>
      <c r="C799" s="7" t="s">
        <v>361</v>
      </c>
      <c r="D799" s="7" t="s">
        <v>1966</v>
      </c>
      <c r="E799" s="7" t="s">
        <v>149</v>
      </c>
      <c r="F799" s="7" t="s">
        <v>1967</v>
      </c>
    </row>
    <row r="800" customFormat="false" ht="15" hidden="false" customHeight="false" outlineLevel="0" collapsed="false">
      <c r="A800" s="7" t="s">
        <v>359</v>
      </c>
      <c r="B800" s="7" t="s">
        <v>360</v>
      </c>
      <c r="C800" s="7" t="s">
        <v>361</v>
      </c>
      <c r="D800" s="7" t="s">
        <v>1968</v>
      </c>
      <c r="E800" s="7" t="s">
        <v>199</v>
      </c>
      <c r="F800" s="7" t="s">
        <v>1969</v>
      </c>
    </row>
    <row r="801" customFormat="false" ht="15" hidden="false" customHeight="false" outlineLevel="0" collapsed="false">
      <c r="A801" s="7" t="s">
        <v>359</v>
      </c>
      <c r="B801" s="7" t="s">
        <v>360</v>
      </c>
      <c r="C801" s="7" t="s">
        <v>361</v>
      </c>
      <c r="D801" s="7" t="s">
        <v>1970</v>
      </c>
      <c r="E801" s="7" t="s">
        <v>124</v>
      </c>
      <c r="F801" s="7" t="s">
        <v>1971</v>
      </c>
    </row>
    <row r="802" customFormat="false" ht="15" hidden="false" customHeight="false" outlineLevel="0" collapsed="false">
      <c r="A802" s="7" t="s">
        <v>359</v>
      </c>
      <c r="B802" s="7" t="s">
        <v>360</v>
      </c>
      <c r="C802" s="7" t="s">
        <v>361</v>
      </c>
      <c r="D802" s="7" t="s">
        <v>1972</v>
      </c>
      <c r="E802" s="7" t="s">
        <v>75</v>
      </c>
      <c r="F802" s="7" t="s">
        <v>1973</v>
      </c>
    </row>
    <row r="803" customFormat="false" ht="15" hidden="false" customHeight="false" outlineLevel="0" collapsed="false">
      <c r="A803" s="7" t="s">
        <v>359</v>
      </c>
      <c r="B803" s="7" t="s">
        <v>360</v>
      </c>
      <c r="C803" s="7" t="s">
        <v>361</v>
      </c>
      <c r="D803" s="7" t="s">
        <v>1974</v>
      </c>
      <c r="E803" s="7" t="s">
        <v>312</v>
      </c>
      <c r="F803" s="7" t="s">
        <v>1975</v>
      </c>
    </row>
    <row r="804" customFormat="false" ht="15" hidden="false" customHeight="false" outlineLevel="0" collapsed="false">
      <c r="A804" s="7" t="s">
        <v>359</v>
      </c>
      <c r="B804" s="7" t="s">
        <v>360</v>
      </c>
      <c r="C804" s="7" t="s">
        <v>361</v>
      </c>
      <c r="D804" s="7" t="s">
        <v>1976</v>
      </c>
      <c r="E804" s="7" t="s">
        <v>54</v>
      </c>
      <c r="F804" s="7" t="s">
        <v>1977</v>
      </c>
    </row>
    <row r="805" customFormat="false" ht="15" hidden="false" customHeight="false" outlineLevel="0" collapsed="false">
      <c r="A805" s="7" t="s">
        <v>359</v>
      </c>
      <c r="B805" s="7" t="s">
        <v>360</v>
      </c>
      <c r="C805" s="7" t="s">
        <v>361</v>
      </c>
      <c r="D805" s="7" t="s">
        <v>1978</v>
      </c>
      <c r="E805" s="7" t="s">
        <v>77</v>
      </c>
      <c r="F805" s="7" t="s">
        <v>1979</v>
      </c>
    </row>
    <row r="806" customFormat="false" ht="15" hidden="false" customHeight="false" outlineLevel="0" collapsed="false">
      <c r="A806" s="7" t="s">
        <v>359</v>
      </c>
      <c r="B806" s="7" t="s">
        <v>360</v>
      </c>
      <c r="C806" s="7" t="s">
        <v>361</v>
      </c>
      <c r="D806" s="7" t="s">
        <v>1980</v>
      </c>
      <c r="E806" s="7" t="s">
        <v>75</v>
      </c>
      <c r="F806" s="7" t="s">
        <v>1981</v>
      </c>
    </row>
    <row r="807" customFormat="false" ht="15" hidden="false" customHeight="false" outlineLevel="0" collapsed="false">
      <c r="A807" s="7" t="s">
        <v>359</v>
      </c>
      <c r="B807" s="7" t="s">
        <v>360</v>
      </c>
      <c r="C807" s="7" t="s">
        <v>361</v>
      </c>
      <c r="D807" s="7" t="s">
        <v>1982</v>
      </c>
      <c r="E807" s="7" t="s">
        <v>149</v>
      </c>
      <c r="F807" s="7" t="s">
        <v>1983</v>
      </c>
    </row>
    <row r="808" customFormat="false" ht="15" hidden="false" customHeight="false" outlineLevel="0" collapsed="false">
      <c r="A808" s="7" t="s">
        <v>359</v>
      </c>
      <c r="B808" s="7" t="s">
        <v>360</v>
      </c>
      <c r="C808" s="7" t="s">
        <v>361</v>
      </c>
      <c r="D808" s="7" t="s">
        <v>1984</v>
      </c>
      <c r="E808" s="7" t="s">
        <v>92</v>
      </c>
      <c r="F808" s="7" t="s">
        <v>1985</v>
      </c>
    </row>
    <row r="809" customFormat="false" ht="15" hidden="false" customHeight="false" outlineLevel="0" collapsed="false">
      <c r="A809" s="7" t="s">
        <v>359</v>
      </c>
      <c r="B809" s="7" t="s">
        <v>360</v>
      </c>
      <c r="C809" s="7" t="s">
        <v>361</v>
      </c>
      <c r="D809" s="7" t="s">
        <v>1986</v>
      </c>
      <c r="E809" s="7" t="s">
        <v>298</v>
      </c>
      <c r="F809" s="7" t="s">
        <v>1987</v>
      </c>
    </row>
    <row r="810" customFormat="false" ht="15" hidden="false" customHeight="false" outlineLevel="0" collapsed="false">
      <c r="A810" s="7" t="s">
        <v>359</v>
      </c>
      <c r="B810" s="7" t="s">
        <v>360</v>
      </c>
      <c r="C810" s="7" t="s">
        <v>361</v>
      </c>
      <c r="D810" s="7" t="s">
        <v>1988</v>
      </c>
      <c r="E810" s="7" t="s">
        <v>285</v>
      </c>
      <c r="F810" s="7" t="s">
        <v>1989</v>
      </c>
    </row>
    <row r="811" customFormat="false" ht="15" hidden="false" customHeight="false" outlineLevel="0" collapsed="false">
      <c r="A811" s="7" t="s">
        <v>359</v>
      </c>
      <c r="B811" s="7" t="s">
        <v>360</v>
      </c>
      <c r="C811" s="7" t="s">
        <v>361</v>
      </c>
      <c r="D811" s="7" t="s">
        <v>1990</v>
      </c>
      <c r="E811" s="7" t="s">
        <v>90</v>
      </c>
      <c r="F811" s="7" t="s">
        <v>1991</v>
      </c>
    </row>
    <row r="812" customFormat="false" ht="15" hidden="false" customHeight="false" outlineLevel="0" collapsed="false">
      <c r="A812" s="7" t="s">
        <v>359</v>
      </c>
      <c r="B812" s="7" t="s">
        <v>360</v>
      </c>
      <c r="C812" s="7" t="s">
        <v>361</v>
      </c>
      <c r="D812" s="7" t="s">
        <v>1992</v>
      </c>
      <c r="E812" s="7" t="s">
        <v>347</v>
      </c>
      <c r="F812" s="7" t="s">
        <v>1993</v>
      </c>
    </row>
    <row r="813" customFormat="false" ht="15" hidden="false" customHeight="false" outlineLevel="0" collapsed="false">
      <c r="A813" s="7" t="s">
        <v>359</v>
      </c>
      <c r="B813" s="7" t="s">
        <v>360</v>
      </c>
      <c r="C813" s="7" t="s">
        <v>361</v>
      </c>
      <c r="D813" s="7" t="s">
        <v>1994</v>
      </c>
      <c r="E813" s="7" t="s">
        <v>296</v>
      </c>
      <c r="F813" s="7" t="s">
        <v>1995</v>
      </c>
    </row>
    <row r="814" customFormat="false" ht="15" hidden="false" customHeight="false" outlineLevel="0" collapsed="false">
      <c r="A814" s="7" t="s">
        <v>359</v>
      </c>
      <c r="B814" s="7" t="s">
        <v>360</v>
      </c>
      <c r="C814" s="7" t="s">
        <v>361</v>
      </c>
      <c r="D814" s="7" t="s">
        <v>1996</v>
      </c>
      <c r="E814" s="7" t="s">
        <v>291</v>
      </c>
      <c r="F814" s="7" t="s">
        <v>1997</v>
      </c>
    </row>
    <row r="815" customFormat="false" ht="15" hidden="false" customHeight="false" outlineLevel="0" collapsed="false">
      <c r="A815" s="7" t="s">
        <v>359</v>
      </c>
      <c r="B815" s="7" t="s">
        <v>360</v>
      </c>
      <c r="C815" s="7" t="s">
        <v>361</v>
      </c>
      <c r="D815" s="7" t="s">
        <v>1998</v>
      </c>
      <c r="E815" s="7" t="s">
        <v>258</v>
      </c>
      <c r="F815" s="7" t="s">
        <v>1999</v>
      </c>
    </row>
    <row r="816" customFormat="false" ht="15" hidden="false" customHeight="false" outlineLevel="0" collapsed="false">
      <c r="A816" s="7" t="s">
        <v>359</v>
      </c>
      <c r="B816" s="7" t="s">
        <v>360</v>
      </c>
      <c r="C816" s="7" t="s">
        <v>361</v>
      </c>
      <c r="D816" s="7" t="s">
        <v>2000</v>
      </c>
      <c r="E816" s="7" t="s">
        <v>230</v>
      </c>
      <c r="F816" s="7" t="s">
        <v>2001</v>
      </c>
    </row>
    <row r="817" customFormat="false" ht="15" hidden="false" customHeight="false" outlineLevel="0" collapsed="false">
      <c r="A817" s="7" t="s">
        <v>359</v>
      </c>
      <c r="B817" s="7" t="s">
        <v>360</v>
      </c>
      <c r="C817" s="7" t="s">
        <v>361</v>
      </c>
      <c r="D817" s="7" t="s">
        <v>2002</v>
      </c>
      <c r="E817" s="7" t="s">
        <v>228</v>
      </c>
      <c r="F817" s="7" t="s">
        <v>2003</v>
      </c>
    </row>
    <row r="818" customFormat="false" ht="15" hidden="false" customHeight="false" outlineLevel="0" collapsed="false">
      <c r="A818" s="7" t="s">
        <v>359</v>
      </c>
      <c r="B818" s="7" t="s">
        <v>360</v>
      </c>
      <c r="C818" s="7" t="s">
        <v>361</v>
      </c>
      <c r="D818" s="7" t="s">
        <v>2004</v>
      </c>
      <c r="E818" s="7" t="s">
        <v>283</v>
      </c>
      <c r="F818" s="7" t="s">
        <v>2005</v>
      </c>
    </row>
    <row r="819" customFormat="false" ht="15" hidden="false" customHeight="false" outlineLevel="0" collapsed="false">
      <c r="A819" s="7" t="s">
        <v>359</v>
      </c>
      <c r="B819" s="7" t="s">
        <v>360</v>
      </c>
      <c r="C819" s="7" t="s">
        <v>361</v>
      </c>
      <c r="D819" s="7" t="s">
        <v>2006</v>
      </c>
      <c r="E819" s="7" t="s">
        <v>122</v>
      </c>
      <c r="F819" s="7" t="s">
        <v>2007</v>
      </c>
    </row>
    <row r="820" customFormat="false" ht="15" hidden="false" customHeight="false" outlineLevel="0" collapsed="false">
      <c r="A820" s="7" t="s">
        <v>359</v>
      </c>
      <c r="B820" s="7" t="s">
        <v>360</v>
      </c>
      <c r="C820" s="7" t="s">
        <v>361</v>
      </c>
      <c r="D820" s="7" t="s">
        <v>2008</v>
      </c>
      <c r="E820" s="7" t="s">
        <v>289</v>
      </c>
      <c r="F820" s="7" t="s">
        <v>2009</v>
      </c>
    </row>
    <row r="821" customFormat="false" ht="15" hidden="false" customHeight="false" outlineLevel="0" collapsed="false">
      <c r="A821" s="7" t="s">
        <v>359</v>
      </c>
      <c r="B821" s="7" t="s">
        <v>360</v>
      </c>
      <c r="C821" s="7" t="s">
        <v>361</v>
      </c>
      <c r="D821" s="7" t="s">
        <v>2010</v>
      </c>
      <c r="E821" s="7" t="s">
        <v>316</v>
      </c>
      <c r="F821" s="7" t="s">
        <v>2011</v>
      </c>
    </row>
    <row r="822" customFormat="false" ht="15" hidden="false" customHeight="false" outlineLevel="0" collapsed="false">
      <c r="A822" s="7" t="s">
        <v>359</v>
      </c>
      <c r="B822" s="7" t="s">
        <v>360</v>
      </c>
      <c r="C822" s="7" t="s">
        <v>361</v>
      </c>
      <c r="D822" s="7" t="s">
        <v>2012</v>
      </c>
      <c r="E822" s="7" t="s">
        <v>126</v>
      </c>
      <c r="F822" s="7" t="s">
        <v>2013</v>
      </c>
    </row>
    <row r="823" customFormat="false" ht="15" hidden="false" customHeight="false" outlineLevel="0" collapsed="false">
      <c r="A823" s="7" t="s">
        <v>359</v>
      </c>
      <c r="B823" s="7" t="s">
        <v>360</v>
      </c>
      <c r="C823" s="7" t="s">
        <v>361</v>
      </c>
      <c r="D823" s="7" t="s">
        <v>2014</v>
      </c>
      <c r="E823" s="7" t="s">
        <v>224</v>
      </c>
      <c r="F823" s="7" t="s">
        <v>2015</v>
      </c>
    </row>
    <row r="824" customFormat="false" ht="15" hidden="false" customHeight="false" outlineLevel="0" collapsed="false">
      <c r="A824" s="7" t="s">
        <v>359</v>
      </c>
      <c r="B824" s="7" t="s">
        <v>360</v>
      </c>
      <c r="C824" s="7" t="s">
        <v>361</v>
      </c>
      <c r="D824" s="7" t="s">
        <v>2016</v>
      </c>
      <c r="E824" s="7" t="s">
        <v>296</v>
      </c>
      <c r="F824" s="7" t="s">
        <v>2017</v>
      </c>
    </row>
    <row r="825" customFormat="false" ht="15" hidden="false" customHeight="false" outlineLevel="0" collapsed="false">
      <c r="A825" s="7" t="s">
        <v>359</v>
      </c>
      <c r="B825" s="7" t="s">
        <v>360</v>
      </c>
      <c r="C825" s="7" t="s">
        <v>361</v>
      </c>
      <c r="D825" s="7" t="s">
        <v>2018</v>
      </c>
      <c r="E825" s="7" t="s">
        <v>45</v>
      </c>
      <c r="F825" s="7" t="s">
        <v>2019</v>
      </c>
    </row>
    <row r="826" customFormat="false" ht="15" hidden="false" customHeight="false" outlineLevel="0" collapsed="false">
      <c r="A826" s="7" t="s">
        <v>359</v>
      </c>
      <c r="B826" s="7" t="s">
        <v>360</v>
      </c>
      <c r="C826" s="7" t="s">
        <v>361</v>
      </c>
      <c r="D826" s="7" t="s">
        <v>2020</v>
      </c>
      <c r="E826" s="7" t="s">
        <v>113</v>
      </c>
      <c r="F826" s="7" t="s">
        <v>2021</v>
      </c>
    </row>
    <row r="827" customFormat="false" ht="15" hidden="false" customHeight="false" outlineLevel="0" collapsed="false">
      <c r="A827" s="7" t="s">
        <v>359</v>
      </c>
      <c r="B827" s="7" t="s">
        <v>360</v>
      </c>
      <c r="C827" s="7" t="s">
        <v>361</v>
      </c>
      <c r="D827" s="7" t="s">
        <v>2022</v>
      </c>
      <c r="E827" s="7" t="s">
        <v>332</v>
      </c>
      <c r="F827" s="7" t="s">
        <v>2023</v>
      </c>
    </row>
    <row r="828" customFormat="false" ht="15" hidden="false" customHeight="false" outlineLevel="0" collapsed="false">
      <c r="A828" s="7" t="s">
        <v>359</v>
      </c>
      <c r="B828" s="7" t="s">
        <v>360</v>
      </c>
      <c r="C828" s="7" t="s">
        <v>361</v>
      </c>
      <c r="D828" s="7" t="s">
        <v>2024</v>
      </c>
      <c r="E828" s="7" t="s">
        <v>258</v>
      </c>
      <c r="F828" s="7" t="s">
        <v>2025</v>
      </c>
    </row>
    <row r="829" customFormat="false" ht="15" hidden="false" customHeight="false" outlineLevel="0" collapsed="false">
      <c r="A829" s="7" t="s">
        <v>359</v>
      </c>
      <c r="B829" s="7" t="s">
        <v>360</v>
      </c>
      <c r="C829" s="7" t="s">
        <v>361</v>
      </c>
      <c r="D829" s="7" t="s">
        <v>2026</v>
      </c>
      <c r="E829" s="7" t="s">
        <v>171</v>
      </c>
      <c r="F829" s="7" t="s">
        <v>2027</v>
      </c>
    </row>
    <row r="830" customFormat="false" ht="15" hidden="false" customHeight="false" outlineLevel="0" collapsed="false">
      <c r="A830" s="7" t="s">
        <v>359</v>
      </c>
      <c r="B830" s="7" t="s">
        <v>360</v>
      </c>
      <c r="C830" s="7" t="s">
        <v>361</v>
      </c>
      <c r="D830" s="7" t="s">
        <v>2028</v>
      </c>
      <c r="E830" s="7" t="s">
        <v>165</v>
      </c>
      <c r="F830" s="7" t="s">
        <v>2029</v>
      </c>
    </row>
    <row r="831" customFormat="false" ht="15" hidden="false" customHeight="false" outlineLevel="0" collapsed="false">
      <c r="A831" s="7" t="s">
        <v>359</v>
      </c>
      <c r="B831" s="7" t="s">
        <v>360</v>
      </c>
      <c r="C831" s="7" t="s">
        <v>361</v>
      </c>
      <c r="D831" s="7" t="s">
        <v>2030</v>
      </c>
      <c r="E831" s="7" t="s">
        <v>167</v>
      </c>
      <c r="F831" s="7" t="s">
        <v>2031</v>
      </c>
    </row>
    <row r="832" customFormat="false" ht="15" hidden="false" customHeight="false" outlineLevel="0" collapsed="false">
      <c r="A832" s="7" t="s">
        <v>359</v>
      </c>
      <c r="B832" s="7" t="s">
        <v>360</v>
      </c>
      <c r="C832" s="7" t="s">
        <v>361</v>
      </c>
      <c r="D832" s="7" t="s">
        <v>2032</v>
      </c>
      <c r="E832" s="7" t="s">
        <v>109</v>
      </c>
      <c r="F832" s="7" t="s">
        <v>2033</v>
      </c>
    </row>
    <row r="833" customFormat="false" ht="15" hidden="false" customHeight="false" outlineLevel="0" collapsed="false">
      <c r="A833" s="7" t="s">
        <v>359</v>
      </c>
      <c r="B833" s="7" t="s">
        <v>360</v>
      </c>
      <c r="C833" s="7" t="s">
        <v>361</v>
      </c>
      <c r="D833" s="7" t="s">
        <v>2034</v>
      </c>
      <c r="E833" s="7" t="s">
        <v>190</v>
      </c>
      <c r="F833" s="7" t="s">
        <v>2035</v>
      </c>
    </row>
    <row r="834" customFormat="false" ht="15" hidden="false" customHeight="false" outlineLevel="0" collapsed="false">
      <c r="A834" s="7" t="s">
        <v>359</v>
      </c>
      <c r="B834" s="7" t="s">
        <v>360</v>
      </c>
      <c r="C834" s="7" t="s">
        <v>361</v>
      </c>
      <c r="D834" s="7" t="s">
        <v>2036</v>
      </c>
      <c r="E834" s="7" t="s">
        <v>81</v>
      </c>
      <c r="F834" s="7" t="s">
        <v>2037</v>
      </c>
    </row>
    <row r="835" customFormat="false" ht="15" hidden="false" customHeight="false" outlineLevel="0" collapsed="false">
      <c r="A835" s="7" t="s">
        <v>359</v>
      </c>
      <c r="B835" s="7" t="s">
        <v>360</v>
      </c>
      <c r="C835" s="7" t="s">
        <v>361</v>
      </c>
      <c r="D835" s="7" t="s">
        <v>2038</v>
      </c>
      <c r="E835" s="7" t="s">
        <v>63</v>
      </c>
      <c r="F835" s="7" t="s">
        <v>2039</v>
      </c>
    </row>
    <row r="836" customFormat="false" ht="15" hidden="false" customHeight="false" outlineLevel="0" collapsed="false">
      <c r="A836" s="7" t="s">
        <v>359</v>
      </c>
      <c r="B836" s="7" t="s">
        <v>360</v>
      </c>
      <c r="C836" s="7" t="s">
        <v>361</v>
      </c>
      <c r="D836" s="7" t="s">
        <v>2040</v>
      </c>
      <c r="E836" s="7" t="s">
        <v>173</v>
      </c>
      <c r="F836" s="7" t="s">
        <v>2041</v>
      </c>
    </row>
    <row r="837" customFormat="false" ht="15" hidden="false" customHeight="false" outlineLevel="0" collapsed="false">
      <c r="A837" s="7" t="s">
        <v>359</v>
      </c>
      <c r="B837" s="7" t="s">
        <v>360</v>
      </c>
      <c r="C837" s="7" t="s">
        <v>361</v>
      </c>
      <c r="D837" s="7" t="s">
        <v>2042</v>
      </c>
      <c r="E837" s="7" t="s">
        <v>309</v>
      </c>
      <c r="F837" s="7" t="s">
        <v>2043</v>
      </c>
    </row>
    <row r="838" customFormat="false" ht="15" hidden="false" customHeight="false" outlineLevel="0" collapsed="false">
      <c r="A838" s="7" t="s">
        <v>359</v>
      </c>
      <c r="B838" s="7" t="s">
        <v>360</v>
      </c>
      <c r="C838" s="7" t="s">
        <v>361</v>
      </c>
      <c r="D838" s="7" t="s">
        <v>2044</v>
      </c>
      <c r="E838" s="7" t="s">
        <v>230</v>
      </c>
      <c r="F838" s="7" t="s">
        <v>2045</v>
      </c>
    </row>
    <row r="839" customFormat="false" ht="15" hidden="false" customHeight="false" outlineLevel="0" collapsed="false">
      <c r="A839" s="7" t="s">
        <v>359</v>
      </c>
      <c r="B839" s="7" t="s">
        <v>360</v>
      </c>
      <c r="C839" s="7" t="s">
        <v>361</v>
      </c>
      <c r="D839" s="7" t="s">
        <v>2046</v>
      </c>
      <c r="E839" s="7" t="s">
        <v>31</v>
      </c>
      <c r="F839" s="7" t="s">
        <v>2047</v>
      </c>
    </row>
    <row r="840" customFormat="false" ht="15" hidden="false" customHeight="false" outlineLevel="0" collapsed="false">
      <c r="A840" s="7" t="s">
        <v>359</v>
      </c>
      <c r="B840" s="7" t="s">
        <v>360</v>
      </c>
      <c r="C840" s="7" t="s">
        <v>361</v>
      </c>
      <c r="D840" s="7" t="s">
        <v>2048</v>
      </c>
      <c r="E840" s="7" t="s">
        <v>96</v>
      </c>
      <c r="F840" s="7" t="s">
        <v>2049</v>
      </c>
    </row>
    <row r="841" customFormat="false" ht="15" hidden="false" customHeight="false" outlineLevel="0" collapsed="false">
      <c r="A841" s="7" t="s">
        <v>359</v>
      </c>
      <c r="B841" s="7" t="s">
        <v>360</v>
      </c>
      <c r="C841" s="7" t="s">
        <v>361</v>
      </c>
      <c r="D841" s="7" t="s">
        <v>2050</v>
      </c>
      <c r="E841" s="7" t="s">
        <v>303</v>
      </c>
      <c r="F841" s="7" t="s">
        <v>2051</v>
      </c>
    </row>
    <row r="842" customFormat="false" ht="15" hidden="false" customHeight="false" outlineLevel="0" collapsed="false">
      <c r="A842" s="7" t="s">
        <v>359</v>
      </c>
      <c r="B842" s="7" t="s">
        <v>360</v>
      </c>
      <c r="C842" s="7" t="s">
        <v>361</v>
      </c>
      <c r="D842" s="7" t="s">
        <v>2052</v>
      </c>
      <c r="E842" s="7" t="s">
        <v>57</v>
      </c>
      <c r="F842" s="7" t="s">
        <v>2053</v>
      </c>
    </row>
    <row r="843" customFormat="false" ht="15" hidden="false" customHeight="false" outlineLevel="0" collapsed="false">
      <c r="A843" s="7" t="s">
        <v>359</v>
      </c>
      <c r="B843" s="7" t="s">
        <v>360</v>
      </c>
      <c r="C843" s="7" t="s">
        <v>361</v>
      </c>
      <c r="D843" s="7" t="s">
        <v>2054</v>
      </c>
      <c r="E843" s="7" t="s">
        <v>226</v>
      </c>
      <c r="F843" s="7" t="s">
        <v>2055</v>
      </c>
    </row>
    <row r="844" customFormat="false" ht="15" hidden="false" customHeight="false" outlineLevel="0" collapsed="false">
      <c r="A844" s="7" t="s">
        <v>359</v>
      </c>
      <c r="B844" s="7" t="s">
        <v>360</v>
      </c>
      <c r="C844" s="7" t="s">
        <v>361</v>
      </c>
      <c r="D844" s="7" t="s">
        <v>2056</v>
      </c>
      <c r="E844" s="7" t="s">
        <v>31</v>
      </c>
      <c r="F844" s="7" t="s">
        <v>2057</v>
      </c>
    </row>
    <row r="845" customFormat="false" ht="15" hidden="false" customHeight="false" outlineLevel="0" collapsed="false">
      <c r="A845" s="7" t="s">
        <v>359</v>
      </c>
      <c r="B845" s="7" t="s">
        <v>360</v>
      </c>
      <c r="C845" s="7" t="s">
        <v>361</v>
      </c>
      <c r="D845" s="7" t="s">
        <v>2058</v>
      </c>
      <c r="E845" s="7" t="s">
        <v>61</v>
      </c>
      <c r="F845" s="7" t="s">
        <v>2059</v>
      </c>
    </row>
    <row r="846" customFormat="false" ht="15" hidden="false" customHeight="false" outlineLevel="0" collapsed="false">
      <c r="A846" s="7" t="s">
        <v>359</v>
      </c>
      <c r="B846" s="7" t="s">
        <v>360</v>
      </c>
      <c r="C846" s="7" t="s">
        <v>361</v>
      </c>
      <c r="D846" s="7" t="s">
        <v>2060</v>
      </c>
      <c r="E846" s="7" t="s">
        <v>159</v>
      </c>
      <c r="F846" s="7" t="s">
        <v>2061</v>
      </c>
    </row>
    <row r="847" customFormat="false" ht="15" hidden="false" customHeight="false" outlineLevel="0" collapsed="false">
      <c r="A847" s="7" t="s">
        <v>359</v>
      </c>
      <c r="B847" s="7" t="s">
        <v>360</v>
      </c>
      <c r="C847" s="7" t="s">
        <v>361</v>
      </c>
      <c r="D847" s="7" t="s">
        <v>2062</v>
      </c>
      <c r="E847" s="7" t="s">
        <v>101</v>
      </c>
      <c r="F847" s="7" t="s">
        <v>2063</v>
      </c>
    </row>
    <row r="848" customFormat="false" ht="15" hidden="false" customHeight="false" outlineLevel="0" collapsed="false">
      <c r="A848" s="7" t="s">
        <v>359</v>
      </c>
      <c r="B848" s="7" t="s">
        <v>360</v>
      </c>
      <c r="C848" s="7" t="s">
        <v>361</v>
      </c>
      <c r="D848" s="7" t="s">
        <v>2064</v>
      </c>
      <c r="E848" s="7" t="s">
        <v>144</v>
      </c>
      <c r="F848" s="7" t="s">
        <v>2065</v>
      </c>
    </row>
    <row r="849" customFormat="false" ht="15" hidden="false" customHeight="false" outlineLevel="0" collapsed="false">
      <c r="A849" s="7" t="s">
        <v>359</v>
      </c>
      <c r="B849" s="7" t="s">
        <v>360</v>
      </c>
      <c r="C849" s="7" t="s">
        <v>361</v>
      </c>
      <c r="D849" s="7" t="s">
        <v>2066</v>
      </c>
      <c r="E849" s="7" t="s">
        <v>193</v>
      </c>
      <c r="F849" s="7" t="s">
        <v>2067</v>
      </c>
    </row>
    <row r="850" customFormat="false" ht="15" hidden="false" customHeight="false" outlineLevel="0" collapsed="false">
      <c r="A850" s="7" t="s">
        <v>359</v>
      </c>
      <c r="B850" s="7" t="s">
        <v>360</v>
      </c>
      <c r="C850" s="7" t="s">
        <v>361</v>
      </c>
      <c r="D850" s="7" t="s">
        <v>2068</v>
      </c>
      <c r="E850" s="7" t="s">
        <v>27</v>
      </c>
      <c r="F850" s="7" t="s">
        <v>2069</v>
      </c>
    </row>
    <row r="851" customFormat="false" ht="15" hidden="false" customHeight="false" outlineLevel="0" collapsed="false">
      <c r="A851" s="7" t="s">
        <v>359</v>
      </c>
      <c r="B851" s="7" t="s">
        <v>360</v>
      </c>
      <c r="C851" s="7" t="s">
        <v>361</v>
      </c>
      <c r="D851" s="7" t="s">
        <v>2070</v>
      </c>
      <c r="E851" s="7" t="s">
        <v>256</v>
      </c>
      <c r="F851" s="7" t="s">
        <v>2071</v>
      </c>
    </row>
    <row r="852" customFormat="false" ht="15" hidden="false" customHeight="false" outlineLevel="0" collapsed="false">
      <c r="A852" s="7" t="s">
        <v>359</v>
      </c>
      <c r="B852" s="7" t="s">
        <v>360</v>
      </c>
      <c r="C852" s="7" t="s">
        <v>361</v>
      </c>
      <c r="D852" s="7" t="s">
        <v>2072</v>
      </c>
      <c r="E852" s="7" t="s">
        <v>289</v>
      </c>
      <c r="F852" s="7" t="s">
        <v>2073</v>
      </c>
    </row>
    <row r="853" customFormat="false" ht="15" hidden="false" customHeight="false" outlineLevel="0" collapsed="false">
      <c r="A853" s="7" t="s">
        <v>359</v>
      </c>
      <c r="B853" s="7" t="s">
        <v>360</v>
      </c>
      <c r="C853" s="7" t="s">
        <v>361</v>
      </c>
      <c r="D853" s="7" t="s">
        <v>2074</v>
      </c>
      <c r="E853" s="7" t="s">
        <v>59</v>
      </c>
      <c r="F853" s="7" t="s">
        <v>2075</v>
      </c>
    </row>
    <row r="854" customFormat="false" ht="15" hidden="false" customHeight="false" outlineLevel="0" collapsed="false">
      <c r="A854" s="7" t="s">
        <v>359</v>
      </c>
      <c r="B854" s="7" t="s">
        <v>360</v>
      </c>
      <c r="C854" s="7" t="s">
        <v>361</v>
      </c>
      <c r="D854" s="7" t="s">
        <v>2076</v>
      </c>
      <c r="E854" s="7" t="s">
        <v>101</v>
      </c>
      <c r="F854" s="7" t="s">
        <v>2077</v>
      </c>
    </row>
    <row r="855" customFormat="false" ht="15" hidden="false" customHeight="false" outlineLevel="0" collapsed="false">
      <c r="A855" s="7" t="s">
        <v>359</v>
      </c>
      <c r="B855" s="7" t="s">
        <v>360</v>
      </c>
      <c r="C855" s="7" t="s">
        <v>361</v>
      </c>
      <c r="D855" s="7" t="s">
        <v>2078</v>
      </c>
      <c r="E855" s="7" t="s">
        <v>118</v>
      </c>
      <c r="F855" s="7" t="s">
        <v>2079</v>
      </c>
    </row>
    <row r="856" customFormat="false" ht="15" hidden="false" customHeight="false" outlineLevel="0" collapsed="false">
      <c r="A856" s="7" t="s">
        <v>359</v>
      </c>
      <c r="B856" s="7" t="s">
        <v>360</v>
      </c>
      <c r="C856" s="7" t="s">
        <v>361</v>
      </c>
      <c r="D856" s="7" t="s">
        <v>2080</v>
      </c>
      <c r="E856" s="7" t="s">
        <v>292</v>
      </c>
      <c r="F856" s="7" t="s">
        <v>2081</v>
      </c>
    </row>
    <row r="857" customFormat="false" ht="15" hidden="false" customHeight="false" outlineLevel="0" collapsed="false">
      <c r="A857" s="7" t="s">
        <v>359</v>
      </c>
      <c r="B857" s="7" t="s">
        <v>360</v>
      </c>
      <c r="C857" s="7" t="s">
        <v>361</v>
      </c>
      <c r="D857" s="7" t="s">
        <v>2082</v>
      </c>
      <c r="E857" s="7" t="s">
        <v>203</v>
      </c>
      <c r="F857" s="7" t="s">
        <v>2083</v>
      </c>
    </row>
    <row r="858" customFormat="false" ht="15" hidden="false" customHeight="false" outlineLevel="0" collapsed="false">
      <c r="A858" s="7" t="s">
        <v>359</v>
      </c>
      <c r="B858" s="7" t="s">
        <v>360</v>
      </c>
      <c r="C858" s="7" t="s">
        <v>361</v>
      </c>
      <c r="D858" s="7" t="s">
        <v>2084</v>
      </c>
      <c r="E858" s="7" t="s">
        <v>279</v>
      </c>
      <c r="F858" s="7" t="s">
        <v>2085</v>
      </c>
    </row>
    <row r="859" customFormat="false" ht="15" hidden="false" customHeight="false" outlineLevel="0" collapsed="false">
      <c r="A859" s="7" t="s">
        <v>359</v>
      </c>
      <c r="B859" s="7" t="s">
        <v>360</v>
      </c>
      <c r="C859" s="7" t="s">
        <v>361</v>
      </c>
      <c r="D859" s="7" t="s">
        <v>2086</v>
      </c>
      <c r="E859" s="7" t="s">
        <v>178</v>
      </c>
      <c r="F859" s="7" t="s">
        <v>2087</v>
      </c>
    </row>
    <row r="860" customFormat="false" ht="15" hidden="false" customHeight="false" outlineLevel="0" collapsed="false">
      <c r="A860" s="7" t="s">
        <v>359</v>
      </c>
      <c r="B860" s="7" t="s">
        <v>360</v>
      </c>
      <c r="C860" s="7" t="s">
        <v>361</v>
      </c>
      <c r="D860" s="7" t="s">
        <v>2088</v>
      </c>
      <c r="E860" s="7" t="s">
        <v>266</v>
      </c>
      <c r="F860" s="7" t="s">
        <v>2089</v>
      </c>
    </row>
    <row r="861" customFormat="false" ht="15" hidden="false" customHeight="false" outlineLevel="0" collapsed="false">
      <c r="A861" s="7" t="s">
        <v>359</v>
      </c>
      <c r="B861" s="7" t="s">
        <v>360</v>
      </c>
      <c r="C861" s="7" t="s">
        <v>361</v>
      </c>
      <c r="D861" s="7" t="s">
        <v>2090</v>
      </c>
      <c r="E861" s="7" t="s">
        <v>63</v>
      </c>
      <c r="F861" s="7" t="s">
        <v>2091</v>
      </c>
    </row>
    <row r="862" customFormat="false" ht="15" hidden="false" customHeight="false" outlineLevel="0" collapsed="false">
      <c r="A862" s="7" t="s">
        <v>359</v>
      </c>
      <c r="B862" s="7" t="s">
        <v>360</v>
      </c>
      <c r="C862" s="7" t="s">
        <v>361</v>
      </c>
      <c r="D862" s="7" t="s">
        <v>2092</v>
      </c>
      <c r="E862" s="7" t="s">
        <v>346</v>
      </c>
      <c r="F862" s="7" t="s">
        <v>2093</v>
      </c>
    </row>
    <row r="863" customFormat="false" ht="15" hidden="false" customHeight="false" outlineLevel="0" collapsed="false">
      <c r="A863" s="7" t="s">
        <v>359</v>
      </c>
      <c r="B863" s="7" t="s">
        <v>360</v>
      </c>
      <c r="C863" s="7" t="s">
        <v>361</v>
      </c>
      <c r="D863" s="7" t="s">
        <v>2094</v>
      </c>
      <c r="E863" s="7" t="s">
        <v>138</v>
      </c>
      <c r="F863" s="7" t="s">
        <v>2095</v>
      </c>
    </row>
    <row r="864" customFormat="false" ht="15" hidden="false" customHeight="false" outlineLevel="0" collapsed="false">
      <c r="A864" s="7" t="s">
        <v>359</v>
      </c>
      <c r="B864" s="7" t="s">
        <v>360</v>
      </c>
      <c r="C864" s="7" t="s">
        <v>361</v>
      </c>
      <c r="D864" s="7" t="s">
        <v>2096</v>
      </c>
      <c r="E864" s="7" t="s">
        <v>185</v>
      </c>
      <c r="F864" s="7" t="s">
        <v>2097</v>
      </c>
    </row>
    <row r="865" customFormat="false" ht="15" hidden="false" customHeight="false" outlineLevel="0" collapsed="false">
      <c r="A865" s="7" t="s">
        <v>359</v>
      </c>
      <c r="B865" s="7" t="s">
        <v>360</v>
      </c>
      <c r="C865" s="7" t="s">
        <v>361</v>
      </c>
      <c r="D865" s="7" t="s">
        <v>2098</v>
      </c>
      <c r="E865" s="7" t="s">
        <v>108</v>
      </c>
      <c r="F865" s="7" t="s">
        <v>2099</v>
      </c>
    </row>
    <row r="866" customFormat="false" ht="15" hidden="false" customHeight="false" outlineLevel="0" collapsed="false">
      <c r="A866" s="7" t="s">
        <v>359</v>
      </c>
      <c r="B866" s="7" t="s">
        <v>360</v>
      </c>
      <c r="C866" s="7" t="s">
        <v>361</v>
      </c>
      <c r="D866" s="7" t="s">
        <v>2100</v>
      </c>
      <c r="E866" s="7" t="s">
        <v>233</v>
      </c>
      <c r="F866" s="7" t="s">
        <v>2101</v>
      </c>
    </row>
    <row r="867" customFormat="false" ht="15" hidden="false" customHeight="false" outlineLevel="0" collapsed="false">
      <c r="A867" s="7" t="s">
        <v>359</v>
      </c>
      <c r="B867" s="7" t="s">
        <v>360</v>
      </c>
      <c r="C867" s="7" t="s">
        <v>361</v>
      </c>
      <c r="D867" s="7" t="s">
        <v>2102</v>
      </c>
      <c r="E867" s="7" t="s">
        <v>254</v>
      </c>
      <c r="F867" s="7" t="s">
        <v>2103</v>
      </c>
    </row>
    <row r="868" customFormat="false" ht="15" hidden="false" customHeight="false" outlineLevel="0" collapsed="false">
      <c r="A868" s="7" t="s">
        <v>359</v>
      </c>
      <c r="B868" s="7" t="s">
        <v>360</v>
      </c>
      <c r="C868" s="7" t="s">
        <v>361</v>
      </c>
      <c r="D868" s="7" t="s">
        <v>2104</v>
      </c>
      <c r="E868" s="7" t="s">
        <v>242</v>
      </c>
      <c r="F868" s="7" t="s">
        <v>2105</v>
      </c>
    </row>
    <row r="869" customFormat="false" ht="15" hidden="false" customHeight="false" outlineLevel="0" collapsed="false">
      <c r="A869" s="7" t="s">
        <v>359</v>
      </c>
      <c r="B869" s="7" t="s">
        <v>360</v>
      </c>
      <c r="C869" s="7" t="s">
        <v>361</v>
      </c>
      <c r="D869" s="7" t="s">
        <v>2106</v>
      </c>
      <c r="E869" s="7" t="s">
        <v>248</v>
      </c>
      <c r="F869" s="7" t="s">
        <v>2107</v>
      </c>
    </row>
    <row r="870" customFormat="false" ht="15" hidden="false" customHeight="false" outlineLevel="0" collapsed="false">
      <c r="A870" s="7" t="s">
        <v>359</v>
      </c>
      <c r="B870" s="7" t="s">
        <v>360</v>
      </c>
      <c r="C870" s="7" t="s">
        <v>361</v>
      </c>
      <c r="D870" s="7" t="s">
        <v>2108</v>
      </c>
      <c r="E870" s="7" t="s">
        <v>111</v>
      </c>
      <c r="F870" s="7" t="s">
        <v>2109</v>
      </c>
    </row>
    <row r="871" customFormat="false" ht="15" hidden="false" customHeight="false" outlineLevel="0" collapsed="false">
      <c r="A871" s="7" t="s">
        <v>359</v>
      </c>
      <c r="B871" s="7" t="s">
        <v>360</v>
      </c>
      <c r="C871" s="7" t="s">
        <v>361</v>
      </c>
      <c r="D871" s="7" t="s">
        <v>2110</v>
      </c>
      <c r="E871" s="7" t="s">
        <v>283</v>
      </c>
      <c r="F871" s="7" t="s">
        <v>2111</v>
      </c>
    </row>
    <row r="872" customFormat="false" ht="15" hidden="false" customHeight="false" outlineLevel="0" collapsed="false">
      <c r="A872" s="7" t="s">
        <v>359</v>
      </c>
      <c r="B872" s="7" t="s">
        <v>360</v>
      </c>
      <c r="C872" s="7" t="s">
        <v>361</v>
      </c>
      <c r="D872" s="7" t="s">
        <v>2112</v>
      </c>
      <c r="E872" s="7" t="s">
        <v>224</v>
      </c>
      <c r="F872" s="7" t="s">
        <v>2113</v>
      </c>
    </row>
    <row r="873" customFormat="false" ht="15" hidden="false" customHeight="false" outlineLevel="0" collapsed="false">
      <c r="A873" s="7" t="s">
        <v>359</v>
      </c>
      <c r="B873" s="7" t="s">
        <v>360</v>
      </c>
      <c r="C873" s="7" t="s">
        <v>361</v>
      </c>
      <c r="D873" s="7" t="s">
        <v>2114</v>
      </c>
      <c r="E873" s="7" t="s">
        <v>193</v>
      </c>
      <c r="F873" s="7" t="s">
        <v>2115</v>
      </c>
    </row>
    <row r="874" customFormat="false" ht="15" hidden="false" customHeight="false" outlineLevel="0" collapsed="false">
      <c r="A874" s="7" t="s">
        <v>359</v>
      </c>
      <c r="B874" s="7" t="s">
        <v>360</v>
      </c>
      <c r="C874" s="7" t="s">
        <v>361</v>
      </c>
      <c r="D874" s="7" t="s">
        <v>2116</v>
      </c>
      <c r="E874" s="7" t="s">
        <v>181</v>
      </c>
      <c r="F874" s="7" t="s">
        <v>2117</v>
      </c>
    </row>
    <row r="875" customFormat="false" ht="15" hidden="false" customHeight="false" outlineLevel="0" collapsed="false">
      <c r="A875" s="7" t="s">
        <v>359</v>
      </c>
      <c r="B875" s="7" t="s">
        <v>360</v>
      </c>
      <c r="C875" s="7" t="s">
        <v>361</v>
      </c>
      <c r="D875" s="7" t="s">
        <v>2118</v>
      </c>
      <c r="E875" s="7" t="s">
        <v>196</v>
      </c>
      <c r="F875" s="7" t="s">
        <v>2119</v>
      </c>
    </row>
    <row r="876" customFormat="false" ht="15" hidden="false" customHeight="false" outlineLevel="0" collapsed="false">
      <c r="A876" s="7" t="s">
        <v>359</v>
      </c>
      <c r="B876" s="7" t="s">
        <v>360</v>
      </c>
      <c r="C876" s="7" t="s">
        <v>361</v>
      </c>
      <c r="D876" s="7" t="s">
        <v>2120</v>
      </c>
      <c r="E876" s="7" t="s">
        <v>199</v>
      </c>
      <c r="F876" s="7" t="s">
        <v>2121</v>
      </c>
    </row>
    <row r="877" customFormat="false" ht="15" hidden="false" customHeight="false" outlineLevel="0" collapsed="false">
      <c r="A877" s="7" t="s">
        <v>359</v>
      </c>
      <c r="B877" s="7" t="s">
        <v>360</v>
      </c>
      <c r="C877" s="7" t="s">
        <v>361</v>
      </c>
      <c r="D877" s="7" t="s">
        <v>2122</v>
      </c>
      <c r="E877" s="7" t="s">
        <v>98</v>
      </c>
      <c r="F877" s="7" t="s">
        <v>2123</v>
      </c>
    </row>
    <row r="878" customFormat="false" ht="15" hidden="false" customHeight="false" outlineLevel="0" collapsed="false">
      <c r="A878" s="7" t="s">
        <v>359</v>
      </c>
      <c r="B878" s="7" t="s">
        <v>360</v>
      </c>
      <c r="C878" s="7" t="s">
        <v>361</v>
      </c>
      <c r="D878" s="7" t="s">
        <v>2124</v>
      </c>
      <c r="E878" s="7" t="s">
        <v>177</v>
      </c>
      <c r="F878" s="7" t="s">
        <v>2125</v>
      </c>
    </row>
    <row r="879" customFormat="false" ht="15" hidden="false" customHeight="false" outlineLevel="0" collapsed="false">
      <c r="A879" s="7" t="s">
        <v>359</v>
      </c>
      <c r="B879" s="7" t="s">
        <v>360</v>
      </c>
      <c r="C879" s="7" t="s">
        <v>361</v>
      </c>
      <c r="D879" s="7" t="s">
        <v>2126</v>
      </c>
      <c r="E879" s="7" t="s">
        <v>334</v>
      </c>
      <c r="F879" s="7" t="s">
        <v>2127</v>
      </c>
    </row>
    <row r="880" customFormat="false" ht="15" hidden="false" customHeight="false" outlineLevel="0" collapsed="false">
      <c r="A880" s="7" t="s">
        <v>359</v>
      </c>
      <c r="B880" s="7" t="s">
        <v>360</v>
      </c>
      <c r="C880" s="7" t="s">
        <v>361</v>
      </c>
      <c r="D880" s="7" t="s">
        <v>2128</v>
      </c>
      <c r="E880" s="7" t="s">
        <v>146</v>
      </c>
      <c r="F880" s="7" t="s">
        <v>2129</v>
      </c>
    </row>
    <row r="881" customFormat="false" ht="15" hidden="false" customHeight="false" outlineLevel="0" collapsed="false">
      <c r="A881" s="7" t="s">
        <v>359</v>
      </c>
      <c r="B881" s="7" t="s">
        <v>360</v>
      </c>
      <c r="C881" s="7" t="s">
        <v>361</v>
      </c>
      <c r="D881" s="7" t="s">
        <v>2130</v>
      </c>
      <c r="E881" s="7" t="s">
        <v>193</v>
      </c>
      <c r="F881" s="7" t="s">
        <v>2131</v>
      </c>
    </row>
    <row r="882" customFormat="false" ht="15" hidden="false" customHeight="false" outlineLevel="0" collapsed="false">
      <c r="A882" s="7" t="s">
        <v>359</v>
      </c>
      <c r="B882" s="7" t="s">
        <v>360</v>
      </c>
      <c r="C882" s="7" t="s">
        <v>361</v>
      </c>
      <c r="D882" s="7" t="s">
        <v>2132</v>
      </c>
      <c r="E882" s="7" t="s">
        <v>230</v>
      </c>
      <c r="F882" s="7" t="s">
        <v>2133</v>
      </c>
    </row>
    <row r="883" customFormat="false" ht="15" hidden="false" customHeight="false" outlineLevel="0" collapsed="false">
      <c r="A883" s="7" t="s">
        <v>359</v>
      </c>
      <c r="B883" s="7" t="s">
        <v>360</v>
      </c>
      <c r="C883" s="7" t="s">
        <v>361</v>
      </c>
      <c r="D883" s="7" t="s">
        <v>2134</v>
      </c>
      <c r="E883" s="7" t="s">
        <v>135</v>
      </c>
      <c r="F883" s="7" t="s">
        <v>2135</v>
      </c>
    </row>
    <row r="884" customFormat="false" ht="15" hidden="false" customHeight="false" outlineLevel="0" collapsed="false">
      <c r="A884" s="7" t="s">
        <v>359</v>
      </c>
      <c r="B884" s="7" t="s">
        <v>360</v>
      </c>
      <c r="C884" s="7" t="s">
        <v>361</v>
      </c>
      <c r="D884" s="7" t="s">
        <v>2136</v>
      </c>
      <c r="E884" s="7" t="s">
        <v>69</v>
      </c>
      <c r="F884" s="7" t="s">
        <v>2137</v>
      </c>
    </row>
    <row r="885" customFormat="false" ht="15" hidden="false" customHeight="false" outlineLevel="0" collapsed="false">
      <c r="A885" s="7" t="s">
        <v>359</v>
      </c>
      <c r="B885" s="7" t="s">
        <v>360</v>
      </c>
      <c r="C885" s="7" t="s">
        <v>361</v>
      </c>
      <c r="D885" s="7" t="s">
        <v>2138</v>
      </c>
      <c r="E885" s="7" t="s">
        <v>294</v>
      </c>
      <c r="F885" s="7" t="s">
        <v>2139</v>
      </c>
    </row>
    <row r="886" customFormat="false" ht="15" hidden="false" customHeight="false" outlineLevel="0" collapsed="false">
      <c r="A886" s="7" t="s">
        <v>359</v>
      </c>
      <c r="B886" s="7" t="s">
        <v>360</v>
      </c>
      <c r="C886" s="7" t="s">
        <v>361</v>
      </c>
      <c r="D886" s="7" t="s">
        <v>2140</v>
      </c>
      <c r="E886" s="7" t="s">
        <v>43</v>
      </c>
      <c r="F886" s="7" t="s">
        <v>2141</v>
      </c>
    </row>
    <row r="887" customFormat="false" ht="15" hidden="false" customHeight="false" outlineLevel="0" collapsed="false">
      <c r="A887" s="7" t="s">
        <v>359</v>
      </c>
      <c r="B887" s="7" t="s">
        <v>360</v>
      </c>
      <c r="C887" s="7" t="s">
        <v>361</v>
      </c>
      <c r="D887" s="7" t="s">
        <v>2142</v>
      </c>
      <c r="E887" s="7" t="s">
        <v>267</v>
      </c>
      <c r="F887" s="7" t="s">
        <v>2143</v>
      </c>
    </row>
    <row r="888" customFormat="false" ht="15" hidden="false" customHeight="false" outlineLevel="0" collapsed="false">
      <c r="A888" s="7" t="s">
        <v>359</v>
      </c>
      <c r="B888" s="7" t="s">
        <v>360</v>
      </c>
      <c r="C888" s="7" t="s">
        <v>361</v>
      </c>
      <c r="D888" s="7" t="s">
        <v>2144</v>
      </c>
      <c r="E888" s="7" t="s">
        <v>98</v>
      </c>
      <c r="F888" s="7" t="s">
        <v>2145</v>
      </c>
    </row>
    <row r="889" customFormat="false" ht="15" hidden="false" customHeight="false" outlineLevel="0" collapsed="false">
      <c r="A889" s="7" t="s">
        <v>359</v>
      </c>
      <c r="B889" s="7" t="s">
        <v>360</v>
      </c>
      <c r="C889" s="7" t="s">
        <v>361</v>
      </c>
      <c r="D889" s="7" t="s">
        <v>2146</v>
      </c>
      <c r="E889" s="7" t="s">
        <v>287</v>
      </c>
      <c r="F889" s="7" t="s">
        <v>2147</v>
      </c>
    </row>
    <row r="890" customFormat="false" ht="15" hidden="false" customHeight="false" outlineLevel="0" collapsed="false">
      <c r="A890" s="7" t="s">
        <v>359</v>
      </c>
      <c r="B890" s="7" t="s">
        <v>360</v>
      </c>
      <c r="C890" s="7" t="s">
        <v>361</v>
      </c>
      <c r="D890" s="7" t="s">
        <v>2148</v>
      </c>
      <c r="E890" s="7" t="s">
        <v>100</v>
      </c>
      <c r="F890" s="7" t="s">
        <v>2149</v>
      </c>
    </row>
    <row r="891" customFormat="false" ht="15" hidden="false" customHeight="false" outlineLevel="0" collapsed="false">
      <c r="A891" s="7" t="s">
        <v>359</v>
      </c>
      <c r="B891" s="7" t="s">
        <v>360</v>
      </c>
      <c r="C891" s="7" t="s">
        <v>361</v>
      </c>
      <c r="D891" s="7" t="s">
        <v>2150</v>
      </c>
      <c r="E891" s="7" t="s">
        <v>252</v>
      </c>
      <c r="F891" s="7" t="s">
        <v>2151</v>
      </c>
    </row>
    <row r="892" customFormat="false" ht="15" hidden="false" customHeight="false" outlineLevel="0" collapsed="false">
      <c r="A892" s="7" t="s">
        <v>359</v>
      </c>
      <c r="B892" s="7" t="s">
        <v>360</v>
      </c>
      <c r="C892" s="7" t="s">
        <v>361</v>
      </c>
      <c r="D892" s="7" t="s">
        <v>2152</v>
      </c>
      <c r="E892" s="7" t="s">
        <v>330</v>
      </c>
      <c r="F892" s="7" t="s">
        <v>2153</v>
      </c>
    </row>
    <row r="893" customFormat="false" ht="15" hidden="false" customHeight="false" outlineLevel="0" collapsed="false">
      <c r="A893" s="7" t="s">
        <v>359</v>
      </c>
      <c r="B893" s="7" t="s">
        <v>360</v>
      </c>
      <c r="C893" s="7" t="s">
        <v>361</v>
      </c>
      <c r="D893" s="7" t="s">
        <v>2154</v>
      </c>
      <c r="E893" s="7" t="s">
        <v>210</v>
      </c>
      <c r="F893" s="7" t="s">
        <v>2155</v>
      </c>
    </row>
    <row r="894" customFormat="false" ht="15" hidden="false" customHeight="false" outlineLevel="0" collapsed="false">
      <c r="A894" s="7" t="s">
        <v>359</v>
      </c>
      <c r="B894" s="7" t="s">
        <v>360</v>
      </c>
      <c r="C894" s="7" t="s">
        <v>361</v>
      </c>
      <c r="D894" s="7" t="s">
        <v>2156</v>
      </c>
      <c r="E894" s="7" t="s">
        <v>210</v>
      </c>
      <c r="F894" s="7" t="s">
        <v>2157</v>
      </c>
    </row>
    <row r="895" customFormat="false" ht="15" hidden="false" customHeight="false" outlineLevel="0" collapsed="false">
      <c r="A895" s="7" t="s">
        <v>359</v>
      </c>
      <c r="B895" s="7" t="s">
        <v>360</v>
      </c>
      <c r="C895" s="7" t="s">
        <v>361</v>
      </c>
      <c r="D895" s="7" t="s">
        <v>2158</v>
      </c>
      <c r="E895" s="7" t="s">
        <v>205</v>
      </c>
      <c r="F895" s="7" t="s">
        <v>2159</v>
      </c>
    </row>
    <row r="896" customFormat="false" ht="15" hidden="false" customHeight="false" outlineLevel="0" collapsed="false">
      <c r="A896" s="7" t="s">
        <v>359</v>
      </c>
      <c r="B896" s="7" t="s">
        <v>360</v>
      </c>
      <c r="C896" s="7" t="s">
        <v>361</v>
      </c>
      <c r="D896" s="7" t="s">
        <v>2160</v>
      </c>
      <c r="E896" s="7" t="s">
        <v>63</v>
      </c>
      <c r="F896" s="7" t="s">
        <v>2161</v>
      </c>
    </row>
    <row r="897" customFormat="false" ht="15" hidden="false" customHeight="false" outlineLevel="0" collapsed="false">
      <c r="A897" s="7" t="s">
        <v>359</v>
      </c>
      <c r="B897" s="7" t="s">
        <v>360</v>
      </c>
      <c r="C897" s="7" t="s">
        <v>361</v>
      </c>
      <c r="D897" s="7" t="s">
        <v>2162</v>
      </c>
      <c r="E897" s="7" t="s">
        <v>260</v>
      </c>
      <c r="F897" s="7" t="s">
        <v>2163</v>
      </c>
    </row>
    <row r="898" customFormat="false" ht="15" hidden="false" customHeight="false" outlineLevel="0" collapsed="false">
      <c r="A898" s="7" t="s">
        <v>359</v>
      </c>
      <c r="B898" s="7" t="s">
        <v>360</v>
      </c>
      <c r="C898" s="7" t="s">
        <v>361</v>
      </c>
      <c r="D898" s="7" t="s">
        <v>2164</v>
      </c>
      <c r="E898" s="7" t="s">
        <v>85</v>
      </c>
      <c r="F898" s="7" t="s">
        <v>2165</v>
      </c>
    </row>
    <row r="899" customFormat="false" ht="15" hidden="false" customHeight="false" outlineLevel="0" collapsed="false">
      <c r="A899" s="7" t="s">
        <v>359</v>
      </c>
      <c r="B899" s="7" t="s">
        <v>360</v>
      </c>
      <c r="C899" s="7" t="s">
        <v>361</v>
      </c>
      <c r="D899" s="7" t="s">
        <v>2166</v>
      </c>
      <c r="E899" s="7" t="s">
        <v>190</v>
      </c>
      <c r="F899" s="7" t="s">
        <v>2167</v>
      </c>
    </row>
    <row r="900" customFormat="false" ht="15" hidden="false" customHeight="false" outlineLevel="0" collapsed="false">
      <c r="A900" s="7" t="s">
        <v>359</v>
      </c>
      <c r="B900" s="7" t="s">
        <v>360</v>
      </c>
      <c r="C900" s="7" t="s">
        <v>361</v>
      </c>
      <c r="D900" s="7" t="s">
        <v>2168</v>
      </c>
      <c r="E900" s="7" t="s">
        <v>252</v>
      </c>
      <c r="F900" s="7" t="s">
        <v>2169</v>
      </c>
    </row>
    <row r="901" customFormat="false" ht="15" hidden="false" customHeight="false" outlineLevel="0" collapsed="false">
      <c r="A901" s="7" t="s">
        <v>359</v>
      </c>
      <c r="B901" s="7" t="s">
        <v>360</v>
      </c>
      <c r="C901" s="7" t="s">
        <v>361</v>
      </c>
      <c r="D901" s="7" t="s">
        <v>2170</v>
      </c>
      <c r="E901" s="7" t="s">
        <v>192</v>
      </c>
      <c r="F901" s="7" t="s">
        <v>2171</v>
      </c>
    </row>
    <row r="902" customFormat="false" ht="15" hidden="false" customHeight="false" outlineLevel="0" collapsed="false">
      <c r="A902" s="7" t="s">
        <v>359</v>
      </c>
      <c r="B902" s="7" t="s">
        <v>360</v>
      </c>
      <c r="C902" s="7" t="s">
        <v>361</v>
      </c>
      <c r="D902" s="7" t="s">
        <v>2172</v>
      </c>
      <c r="E902" s="7" t="s">
        <v>350</v>
      </c>
      <c r="F902" s="7" t="s">
        <v>2173</v>
      </c>
    </row>
    <row r="903" customFormat="false" ht="15" hidden="false" customHeight="false" outlineLevel="0" collapsed="false">
      <c r="A903" s="7" t="s">
        <v>359</v>
      </c>
      <c r="B903" s="7" t="s">
        <v>360</v>
      </c>
      <c r="C903" s="7" t="s">
        <v>361</v>
      </c>
      <c r="D903" s="7" t="s">
        <v>2174</v>
      </c>
      <c r="E903" s="7" t="s">
        <v>258</v>
      </c>
      <c r="F903" s="7" t="s">
        <v>2175</v>
      </c>
    </row>
    <row r="904" customFormat="false" ht="15" hidden="false" customHeight="false" outlineLevel="0" collapsed="false">
      <c r="A904" s="7" t="s">
        <v>359</v>
      </c>
      <c r="B904" s="7" t="s">
        <v>360</v>
      </c>
      <c r="C904" s="7" t="s">
        <v>361</v>
      </c>
      <c r="D904" s="7" t="s">
        <v>2176</v>
      </c>
      <c r="E904" s="7" t="s">
        <v>328</v>
      </c>
      <c r="F904" s="7" t="s">
        <v>2177</v>
      </c>
    </row>
    <row r="905" customFormat="false" ht="15" hidden="false" customHeight="false" outlineLevel="0" collapsed="false">
      <c r="A905" s="7" t="s">
        <v>359</v>
      </c>
      <c r="B905" s="7" t="s">
        <v>360</v>
      </c>
      <c r="C905" s="7" t="s">
        <v>361</v>
      </c>
      <c r="D905" s="7" t="s">
        <v>2178</v>
      </c>
      <c r="E905" s="7" t="s">
        <v>81</v>
      </c>
      <c r="F905" s="7" t="s">
        <v>2179</v>
      </c>
    </row>
    <row r="906" customFormat="false" ht="15" hidden="false" customHeight="false" outlineLevel="0" collapsed="false">
      <c r="A906" s="7" t="s">
        <v>359</v>
      </c>
      <c r="B906" s="7" t="s">
        <v>360</v>
      </c>
      <c r="C906" s="7" t="s">
        <v>361</v>
      </c>
      <c r="D906" s="7" t="s">
        <v>2180</v>
      </c>
      <c r="E906" s="7" t="s">
        <v>269</v>
      </c>
      <c r="F906" s="7" t="s">
        <v>2181</v>
      </c>
    </row>
    <row r="907" customFormat="false" ht="15" hidden="false" customHeight="false" outlineLevel="0" collapsed="false">
      <c r="A907" s="7" t="s">
        <v>359</v>
      </c>
      <c r="B907" s="7" t="s">
        <v>360</v>
      </c>
      <c r="C907" s="7" t="s">
        <v>361</v>
      </c>
      <c r="D907" s="7" t="s">
        <v>2182</v>
      </c>
      <c r="E907" s="7" t="s">
        <v>347</v>
      </c>
      <c r="F907" s="7" t="s">
        <v>2183</v>
      </c>
    </row>
    <row r="908" customFormat="false" ht="15" hidden="false" customHeight="false" outlineLevel="0" collapsed="false">
      <c r="A908" s="7" t="s">
        <v>359</v>
      </c>
      <c r="B908" s="7" t="s">
        <v>360</v>
      </c>
      <c r="C908" s="7" t="s">
        <v>361</v>
      </c>
      <c r="D908" s="7" t="s">
        <v>2184</v>
      </c>
      <c r="E908" s="7" t="s">
        <v>310</v>
      </c>
      <c r="F908" s="7" t="s">
        <v>2185</v>
      </c>
    </row>
    <row r="909" customFormat="false" ht="15" hidden="false" customHeight="false" outlineLevel="0" collapsed="false">
      <c r="A909" s="7" t="s">
        <v>359</v>
      </c>
      <c r="B909" s="7" t="s">
        <v>360</v>
      </c>
      <c r="C909" s="7" t="s">
        <v>361</v>
      </c>
      <c r="D909" s="7" t="s">
        <v>2186</v>
      </c>
      <c r="E909" s="7" t="s">
        <v>338</v>
      </c>
      <c r="F909" s="7" t="s">
        <v>2187</v>
      </c>
    </row>
    <row r="910" customFormat="false" ht="15" hidden="false" customHeight="false" outlineLevel="0" collapsed="false">
      <c r="A910" s="7" t="s">
        <v>359</v>
      </c>
      <c r="B910" s="7" t="s">
        <v>360</v>
      </c>
      <c r="C910" s="7" t="s">
        <v>361</v>
      </c>
      <c r="D910" s="7" t="s">
        <v>2188</v>
      </c>
      <c r="E910" s="7" t="s">
        <v>52</v>
      </c>
      <c r="F910" s="7" t="s">
        <v>2189</v>
      </c>
    </row>
    <row r="911" customFormat="false" ht="15" hidden="false" customHeight="false" outlineLevel="0" collapsed="false">
      <c r="A911" s="7" t="s">
        <v>359</v>
      </c>
      <c r="B911" s="7" t="s">
        <v>360</v>
      </c>
      <c r="C911" s="7" t="s">
        <v>361</v>
      </c>
      <c r="D911" s="7" t="s">
        <v>2190</v>
      </c>
      <c r="E911" s="7" t="s">
        <v>79</v>
      </c>
      <c r="F911" s="7" t="s">
        <v>2191</v>
      </c>
    </row>
    <row r="912" customFormat="false" ht="15" hidden="false" customHeight="false" outlineLevel="0" collapsed="false">
      <c r="A912" s="7" t="s">
        <v>359</v>
      </c>
      <c r="B912" s="7" t="s">
        <v>360</v>
      </c>
      <c r="C912" s="7" t="s">
        <v>361</v>
      </c>
      <c r="D912" s="7" t="s">
        <v>2192</v>
      </c>
      <c r="E912" s="7" t="s">
        <v>273</v>
      </c>
      <c r="F912" s="7" t="s">
        <v>2193</v>
      </c>
    </row>
    <row r="913" customFormat="false" ht="15" hidden="false" customHeight="false" outlineLevel="0" collapsed="false">
      <c r="A913" s="7" t="s">
        <v>359</v>
      </c>
      <c r="B913" s="7" t="s">
        <v>360</v>
      </c>
      <c r="C913" s="7" t="s">
        <v>361</v>
      </c>
      <c r="D913" s="7" t="s">
        <v>2194</v>
      </c>
      <c r="E913" s="7" t="s">
        <v>128</v>
      </c>
      <c r="F913" s="7" t="s">
        <v>2195</v>
      </c>
    </row>
    <row r="914" customFormat="false" ht="15" hidden="false" customHeight="false" outlineLevel="0" collapsed="false">
      <c r="A914" s="7" t="s">
        <v>359</v>
      </c>
      <c r="B914" s="7" t="s">
        <v>360</v>
      </c>
      <c r="C914" s="7" t="s">
        <v>361</v>
      </c>
      <c r="D914" s="7" t="s">
        <v>2196</v>
      </c>
      <c r="E914" s="7" t="s">
        <v>144</v>
      </c>
      <c r="F914" s="7" t="s">
        <v>2197</v>
      </c>
    </row>
    <row r="915" customFormat="false" ht="15" hidden="false" customHeight="false" outlineLevel="0" collapsed="false">
      <c r="A915" s="7" t="s">
        <v>359</v>
      </c>
      <c r="B915" s="7" t="s">
        <v>360</v>
      </c>
      <c r="C915" s="7" t="s">
        <v>361</v>
      </c>
      <c r="D915" s="7" t="s">
        <v>2198</v>
      </c>
      <c r="E915" s="7" t="s">
        <v>273</v>
      </c>
      <c r="F915" s="7" t="s">
        <v>2199</v>
      </c>
    </row>
    <row r="916" customFormat="false" ht="15" hidden="false" customHeight="false" outlineLevel="0" collapsed="false">
      <c r="A916" s="7" t="s">
        <v>359</v>
      </c>
      <c r="B916" s="7" t="s">
        <v>360</v>
      </c>
      <c r="C916" s="7" t="s">
        <v>361</v>
      </c>
      <c r="D916" s="7" t="s">
        <v>2200</v>
      </c>
      <c r="E916" s="7" t="s">
        <v>279</v>
      </c>
      <c r="F916" s="7" t="s">
        <v>2201</v>
      </c>
    </row>
    <row r="917" customFormat="false" ht="15" hidden="false" customHeight="false" outlineLevel="0" collapsed="false">
      <c r="A917" s="7" t="s">
        <v>359</v>
      </c>
      <c r="B917" s="7" t="s">
        <v>360</v>
      </c>
      <c r="C917" s="7" t="s">
        <v>361</v>
      </c>
      <c r="D917" s="7" t="s">
        <v>2202</v>
      </c>
      <c r="E917" s="7" t="s">
        <v>148</v>
      </c>
      <c r="F917" s="7" t="s">
        <v>2203</v>
      </c>
    </row>
    <row r="918" customFormat="false" ht="15" hidden="false" customHeight="false" outlineLevel="0" collapsed="false">
      <c r="A918" s="7" t="s">
        <v>359</v>
      </c>
      <c r="B918" s="7" t="s">
        <v>360</v>
      </c>
      <c r="C918" s="7" t="s">
        <v>361</v>
      </c>
      <c r="D918" s="7" t="s">
        <v>2204</v>
      </c>
      <c r="E918" s="7" t="s">
        <v>232</v>
      </c>
      <c r="F918" s="7" t="s">
        <v>2205</v>
      </c>
    </row>
    <row r="919" customFormat="false" ht="15" hidden="false" customHeight="false" outlineLevel="0" collapsed="false">
      <c r="A919" s="7" t="s">
        <v>359</v>
      </c>
      <c r="B919" s="7" t="s">
        <v>360</v>
      </c>
      <c r="C919" s="7" t="s">
        <v>361</v>
      </c>
      <c r="D919" s="7" t="s">
        <v>2206</v>
      </c>
      <c r="E919" s="7" t="s">
        <v>41</v>
      </c>
      <c r="F919" s="7" t="s">
        <v>2207</v>
      </c>
    </row>
    <row r="920" customFormat="false" ht="15" hidden="false" customHeight="false" outlineLevel="0" collapsed="false">
      <c r="A920" s="7" t="s">
        <v>359</v>
      </c>
      <c r="B920" s="7" t="s">
        <v>360</v>
      </c>
      <c r="C920" s="7" t="s">
        <v>361</v>
      </c>
      <c r="D920" s="7" t="s">
        <v>2208</v>
      </c>
      <c r="E920" s="7" t="s">
        <v>201</v>
      </c>
      <c r="F920" s="7" t="s">
        <v>2209</v>
      </c>
    </row>
    <row r="921" customFormat="false" ht="15" hidden="false" customHeight="false" outlineLevel="0" collapsed="false">
      <c r="A921" s="7" t="s">
        <v>359</v>
      </c>
      <c r="B921" s="7" t="s">
        <v>360</v>
      </c>
      <c r="C921" s="7" t="s">
        <v>361</v>
      </c>
      <c r="D921" s="7" t="s">
        <v>2210</v>
      </c>
      <c r="E921" s="7" t="s">
        <v>106</v>
      </c>
      <c r="F921" s="7" t="s">
        <v>2211</v>
      </c>
    </row>
    <row r="922" customFormat="false" ht="15" hidden="false" customHeight="false" outlineLevel="0" collapsed="false">
      <c r="A922" s="7" t="s">
        <v>359</v>
      </c>
      <c r="B922" s="7" t="s">
        <v>360</v>
      </c>
      <c r="C922" s="7" t="s">
        <v>361</v>
      </c>
      <c r="D922" s="7" t="s">
        <v>2212</v>
      </c>
      <c r="E922" s="7" t="s">
        <v>258</v>
      </c>
      <c r="F922" s="7" t="s">
        <v>2213</v>
      </c>
    </row>
    <row r="923" customFormat="false" ht="15" hidden="false" customHeight="false" outlineLevel="0" collapsed="false">
      <c r="A923" s="7" t="s">
        <v>359</v>
      </c>
      <c r="B923" s="7" t="s">
        <v>360</v>
      </c>
      <c r="C923" s="7" t="s">
        <v>361</v>
      </c>
      <c r="D923" s="7" t="s">
        <v>2214</v>
      </c>
      <c r="E923" s="7" t="s">
        <v>138</v>
      </c>
      <c r="F923" s="7" t="s">
        <v>2215</v>
      </c>
    </row>
    <row r="924" customFormat="false" ht="15" hidden="false" customHeight="false" outlineLevel="0" collapsed="false">
      <c r="A924" s="7" t="s">
        <v>359</v>
      </c>
      <c r="B924" s="7" t="s">
        <v>360</v>
      </c>
      <c r="C924" s="7" t="s">
        <v>361</v>
      </c>
      <c r="D924" s="7" t="s">
        <v>2216</v>
      </c>
      <c r="E924" s="7" t="s">
        <v>209</v>
      </c>
      <c r="F924" s="7" t="s">
        <v>2217</v>
      </c>
    </row>
    <row r="925" customFormat="false" ht="15" hidden="false" customHeight="false" outlineLevel="0" collapsed="false">
      <c r="A925" s="7" t="s">
        <v>359</v>
      </c>
      <c r="B925" s="7" t="s">
        <v>360</v>
      </c>
      <c r="C925" s="7" t="s">
        <v>361</v>
      </c>
      <c r="D925" s="7" t="s">
        <v>2218</v>
      </c>
      <c r="E925" s="7" t="s">
        <v>238</v>
      </c>
      <c r="F925" s="7" t="s">
        <v>2219</v>
      </c>
    </row>
    <row r="926" customFormat="false" ht="15" hidden="false" customHeight="false" outlineLevel="0" collapsed="false">
      <c r="A926" s="7" t="s">
        <v>359</v>
      </c>
      <c r="B926" s="7" t="s">
        <v>360</v>
      </c>
      <c r="C926" s="7" t="s">
        <v>361</v>
      </c>
      <c r="D926" s="7" t="s">
        <v>2220</v>
      </c>
      <c r="E926" s="7" t="s">
        <v>245</v>
      </c>
      <c r="F926" s="7" t="s">
        <v>2221</v>
      </c>
    </row>
    <row r="927" customFormat="false" ht="15" hidden="false" customHeight="false" outlineLevel="0" collapsed="false">
      <c r="A927" s="7" t="s">
        <v>359</v>
      </c>
      <c r="B927" s="7" t="s">
        <v>360</v>
      </c>
      <c r="C927" s="7" t="s">
        <v>361</v>
      </c>
      <c r="D927" s="7" t="s">
        <v>2222</v>
      </c>
      <c r="E927" s="7" t="s">
        <v>142</v>
      </c>
      <c r="F927" s="7" t="s">
        <v>2223</v>
      </c>
    </row>
    <row r="928" customFormat="false" ht="15" hidden="false" customHeight="false" outlineLevel="0" collapsed="false">
      <c r="A928" s="7" t="s">
        <v>359</v>
      </c>
      <c r="B928" s="7" t="s">
        <v>360</v>
      </c>
      <c r="C928" s="7" t="s">
        <v>361</v>
      </c>
      <c r="D928" s="7" t="s">
        <v>2224</v>
      </c>
      <c r="E928" s="7" t="s">
        <v>194</v>
      </c>
      <c r="F928" s="7" t="s">
        <v>2225</v>
      </c>
    </row>
    <row r="929" customFormat="false" ht="15" hidden="false" customHeight="false" outlineLevel="0" collapsed="false">
      <c r="A929" s="7" t="s">
        <v>359</v>
      </c>
      <c r="B929" s="7" t="s">
        <v>360</v>
      </c>
      <c r="C929" s="7" t="s">
        <v>361</v>
      </c>
      <c r="D929" s="7" t="s">
        <v>2226</v>
      </c>
      <c r="E929" s="7" t="s">
        <v>192</v>
      </c>
      <c r="F929" s="7" t="s">
        <v>2227</v>
      </c>
    </row>
    <row r="930" customFormat="false" ht="15" hidden="false" customHeight="false" outlineLevel="0" collapsed="false">
      <c r="A930" s="7" t="s">
        <v>359</v>
      </c>
      <c r="B930" s="7" t="s">
        <v>360</v>
      </c>
      <c r="C930" s="7" t="s">
        <v>361</v>
      </c>
      <c r="D930" s="7" t="s">
        <v>2228</v>
      </c>
      <c r="E930" s="7" t="s">
        <v>291</v>
      </c>
      <c r="F930" s="7" t="s">
        <v>2229</v>
      </c>
    </row>
    <row r="931" customFormat="false" ht="15" hidden="false" customHeight="false" outlineLevel="0" collapsed="false">
      <c r="A931" s="7" t="s">
        <v>359</v>
      </c>
      <c r="B931" s="7" t="s">
        <v>360</v>
      </c>
      <c r="C931" s="7" t="s">
        <v>361</v>
      </c>
      <c r="D931" s="7" t="s">
        <v>2230</v>
      </c>
      <c r="E931" s="7" t="s">
        <v>178</v>
      </c>
      <c r="F931" s="7" t="s">
        <v>2231</v>
      </c>
    </row>
    <row r="932" customFormat="false" ht="15" hidden="false" customHeight="false" outlineLevel="0" collapsed="false">
      <c r="A932" s="7" t="s">
        <v>359</v>
      </c>
      <c r="B932" s="7" t="s">
        <v>360</v>
      </c>
      <c r="C932" s="7" t="s">
        <v>361</v>
      </c>
      <c r="D932" s="7" t="s">
        <v>2232</v>
      </c>
      <c r="E932" s="7" t="s">
        <v>228</v>
      </c>
      <c r="F932" s="7" t="s">
        <v>2233</v>
      </c>
    </row>
    <row r="933" customFormat="false" ht="15" hidden="false" customHeight="false" outlineLevel="0" collapsed="false">
      <c r="A933" s="7" t="s">
        <v>359</v>
      </c>
      <c r="B933" s="7" t="s">
        <v>360</v>
      </c>
      <c r="C933" s="7" t="s">
        <v>361</v>
      </c>
      <c r="D933" s="7" t="s">
        <v>2234</v>
      </c>
      <c r="E933" s="7" t="s">
        <v>216</v>
      </c>
      <c r="F933" s="7" t="s">
        <v>2235</v>
      </c>
    </row>
    <row r="934" customFormat="false" ht="15" hidden="false" customHeight="false" outlineLevel="0" collapsed="false">
      <c r="A934" s="7" t="s">
        <v>359</v>
      </c>
      <c r="B934" s="7" t="s">
        <v>360</v>
      </c>
      <c r="C934" s="7" t="s">
        <v>361</v>
      </c>
      <c r="D934" s="7" t="s">
        <v>2236</v>
      </c>
      <c r="E934" s="7" t="s">
        <v>171</v>
      </c>
      <c r="F934" s="7" t="s">
        <v>2237</v>
      </c>
    </row>
    <row r="935" customFormat="false" ht="15" hidden="false" customHeight="false" outlineLevel="0" collapsed="false">
      <c r="A935" s="7" t="s">
        <v>359</v>
      </c>
      <c r="B935" s="7" t="s">
        <v>360</v>
      </c>
      <c r="C935" s="7" t="s">
        <v>361</v>
      </c>
      <c r="D935" s="7" t="s">
        <v>2238</v>
      </c>
      <c r="E935" s="7" t="s">
        <v>175</v>
      </c>
      <c r="F935" s="7" t="s">
        <v>2239</v>
      </c>
    </row>
    <row r="936" customFormat="false" ht="15" hidden="false" customHeight="false" outlineLevel="0" collapsed="false">
      <c r="A936" s="7" t="s">
        <v>359</v>
      </c>
      <c r="B936" s="7" t="s">
        <v>360</v>
      </c>
      <c r="C936" s="7" t="s">
        <v>361</v>
      </c>
      <c r="D936" s="7" t="s">
        <v>2240</v>
      </c>
      <c r="E936" s="7" t="s">
        <v>163</v>
      </c>
      <c r="F936" s="7" t="s">
        <v>2241</v>
      </c>
    </row>
    <row r="937" customFormat="false" ht="15" hidden="false" customHeight="false" outlineLevel="0" collapsed="false">
      <c r="A937" s="7" t="s">
        <v>359</v>
      </c>
      <c r="B937" s="7" t="s">
        <v>360</v>
      </c>
      <c r="C937" s="7" t="s">
        <v>361</v>
      </c>
      <c r="D937" s="7" t="s">
        <v>2242</v>
      </c>
      <c r="E937" s="7" t="s">
        <v>346</v>
      </c>
      <c r="F937" s="7" t="s">
        <v>2243</v>
      </c>
    </row>
    <row r="938" customFormat="false" ht="15" hidden="false" customHeight="false" outlineLevel="0" collapsed="false">
      <c r="A938" s="7" t="s">
        <v>359</v>
      </c>
      <c r="B938" s="7" t="s">
        <v>360</v>
      </c>
      <c r="C938" s="7" t="s">
        <v>361</v>
      </c>
      <c r="D938" s="7" t="s">
        <v>2244</v>
      </c>
      <c r="E938" s="7" t="s">
        <v>118</v>
      </c>
      <c r="F938" s="7" t="s">
        <v>2245</v>
      </c>
    </row>
    <row r="939" customFormat="false" ht="15" hidden="false" customHeight="false" outlineLevel="0" collapsed="false">
      <c r="A939" s="7" t="s">
        <v>359</v>
      </c>
      <c r="B939" s="7" t="s">
        <v>360</v>
      </c>
      <c r="C939" s="7" t="s">
        <v>361</v>
      </c>
      <c r="D939" s="7" t="s">
        <v>2246</v>
      </c>
      <c r="E939" s="7" t="s">
        <v>320</v>
      </c>
      <c r="F939" s="7" t="s">
        <v>2247</v>
      </c>
    </row>
    <row r="940" customFormat="false" ht="15" hidden="false" customHeight="false" outlineLevel="0" collapsed="false">
      <c r="A940" s="7" t="s">
        <v>359</v>
      </c>
      <c r="B940" s="7" t="s">
        <v>360</v>
      </c>
      <c r="C940" s="7" t="s">
        <v>361</v>
      </c>
      <c r="D940" s="7" t="s">
        <v>2248</v>
      </c>
      <c r="E940" s="7" t="s">
        <v>243</v>
      </c>
      <c r="F940" s="7" t="s">
        <v>2249</v>
      </c>
    </row>
    <row r="941" customFormat="false" ht="15" hidden="false" customHeight="false" outlineLevel="0" collapsed="false">
      <c r="A941" s="7" t="s">
        <v>359</v>
      </c>
      <c r="B941" s="7" t="s">
        <v>360</v>
      </c>
      <c r="C941" s="7" t="s">
        <v>361</v>
      </c>
      <c r="D941" s="7" t="s">
        <v>2250</v>
      </c>
      <c r="E941" s="7" t="s">
        <v>185</v>
      </c>
      <c r="F941" s="7" t="s">
        <v>2251</v>
      </c>
    </row>
    <row r="942" customFormat="false" ht="15" hidden="false" customHeight="false" outlineLevel="0" collapsed="false">
      <c r="A942" s="7" t="s">
        <v>359</v>
      </c>
      <c r="B942" s="7" t="s">
        <v>360</v>
      </c>
      <c r="C942" s="7" t="s">
        <v>361</v>
      </c>
      <c r="D942" s="7" t="s">
        <v>2252</v>
      </c>
      <c r="E942" s="7" t="s">
        <v>302</v>
      </c>
      <c r="F942" s="7" t="s">
        <v>2253</v>
      </c>
    </row>
    <row r="943" customFormat="false" ht="15" hidden="false" customHeight="false" outlineLevel="0" collapsed="false">
      <c r="A943" s="7" t="s">
        <v>359</v>
      </c>
      <c r="B943" s="7" t="s">
        <v>360</v>
      </c>
      <c r="C943" s="7" t="s">
        <v>361</v>
      </c>
      <c r="D943" s="7" t="s">
        <v>2254</v>
      </c>
      <c r="E943" s="7" t="s">
        <v>310</v>
      </c>
      <c r="F943" s="7" t="s">
        <v>2255</v>
      </c>
    </row>
    <row r="944" customFormat="false" ht="15" hidden="false" customHeight="false" outlineLevel="0" collapsed="false">
      <c r="A944" s="7" t="s">
        <v>359</v>
      </c>
      <c r="B944" s="7" t="s">
        <v>360</v>
      </c>
      <c r="C944" s="7" t="s">
        <v>361</v>
      </c>
      <c r="D944" s="7" t="s">
        <v>2256</v>
      </c>
      <c r="E944" s="7" t="s">
        <v>267</v>
      </c>
      <c r="F944" s="7" t="s">
        <v>2257</v>
      </c>
    </row>
    <row r="945" customFormat="false" ht="15" hidden="false" customHeight="false" outlineLevel="0" collapsed="false">
      <c r="A945" s="7" t="s">
        <v>359</v>
      </c>
      <c r="B945" s="7" t="s">
        <v>360</v>
      </c>
      <c r="C945" s="7" t="s">
        <v>361</v>
      </c>
      <c r="D945" s="7" t="s">
        <v>2258</v>
      </c>
      <c r="E945" s="7" t="s">
        <v>185</v>
      </c>
      <c r="F945" s="7" t="s">
        <v>2259</v>
      </c>
    </row>
    <row r="946" customFormat="false" ht="15" hidden="false" customHeight="false" outlineLevel="0" collapsed="false">
      <c r="A946" s="7" t="s">
        <v>359</v>
      </c>
      <c r="B946" s="7" t="s">
        <v>360</v>
      </c>
      <c r="C946" s="7" t="s">
        <v>361</v>
      </c>
      <c r="D946" s="7" t="s">
        <v>2260</v>
      </c>
      <c r="E946" s="7" t="s">
        <v>71</v>
      </c>
      <c r="F946" s="7" t="s">
        <v>2261</v>
      </c>
    </row>
    <row r="947" customFormat="false" ht="15" hidden="false" customHeight="false" outlineLevel="0" collapsed="false">
      <c r="A947" s="7" t="s">
        <v>359</v>
      </c>
      <c r="B947" s="7" t="s">
        <v>360</v>
      </c>
      <c r="C947" s="7" t="s">
        <v>361</v>
      </c>
      <c r="D947" s="7" t="s">
        <v>2262</v>
      </c>
      <c r="E947" s="7" t="s">
        <v>332</v>
      </c>
      <c r="F947" s="7" t="s">
        <v>2263</v>
      </c>
    </row>
    <row r="948" customFormat="false" ht="15" hidden="false" customHeight="false" outlineLevel="0" collapsed="false">
      <c r="A948" s="7" t="s">
        <v>362</v>
      </c>
      <c r="B948" s="7" t="s">
        <v>360</v>
      </c>
      <c r="C948" s="7" t="s">
        <v>361</v>
      </c>
      <c r="D948" s="7" t="s">
        <v>2264</v>
      </c>
      <c r="E948" s="7" t="s">
        <v>2265</v>
      </c>
      <c r="F948" s="7" t="s">
        <v>2266</v>
      </c>
    </row>
    <row r="949" customFormat="false" ht="15" hidden="false" customHeight="false" outlineLevel="0" collapsed="false">
      <c r="A949" s="7" t="s">
        <v>362</v>
      </c>
      <c r="B949" s="7" t="s">
        <v>360</v>
      </c>
      <c r="C949" s="7" t="s">
        <v>361</v>
      </c>
      <c r="D949" s="7" t="s">
        <v>2267</v>
      </c>
      <c r="E949" s="7" t="s">
        <v>2268</v>
      </c>
      <c r="F949" s="7" t="s">
        <v>2266</v>
      </c>
    </row>
    <row r="950" customFormat="false" ht="15" hidden="false" customHeight="false" outlineLevel="0" collapsed="false">
      <c r="A950" s="7" t="s">
        <v>362</v>
      </c>
      <c r="B950" s="7" t="s">
        <v>360</v>
      </c>
      <c r="C950" s="7" t="s">
        <v>361</v>
      </c>
      <c r="D950" s="7" t="s">
        <v>2269</v>
      </c>
      <c r="E950" s="7" t="s">
        <v>2270</v>
      </c>
      <c r="F950" s="7" t="s">
        <v>2266</v>
      </c>
    </row>
    <row r="951" customFormat="false" ht="15" hidden="false" customHeight="false" outlineLevel="0" collapsed="false">
      <c r="A951" s="7" t="s">
        <v>362</v>
      </c>
      <c r="B951" s="7" t="s">
        <v>360</v>
      </c>
      <c r="C951" s="7" t="s">
        <v>361</v>
      </c>
      <c r="D951" s="7" t="s">
        <v>2271</v>
      </c>
      <c r="E951" s="7" t="s">
        <v>2272</v>
      </c>
      <c r="F951" s="7" t="s">
        <v>2266</v>
      </c>
    </row>
    <row r="952" customFormat="false" ht="15" hidden="false" customHeight="false" outlineLevel="0" collapsed="false">
      <c r="A952" s="7" t="s">
        <v>362</v>
      </c>
      <c r="B952" s="7" t="s">
        <v>360</v>
      </c>
      <c r="C952" s="7" t="s">
        <v>361</v>
      </c>
      <c r="D952" s="7" t="s">
        <v>2273</v>
      </c>
      <c r="E952" s="7" t="s">
        <v>2274</v>
      </c>
      <c r="F952" s="7" t="s">
        <v>2266</v>
      </c>
    </row>
    <row r="953" customFormat="false" ht="15" hidden="false" customHeight="false" outlineLevel="0" collapsed="false">
      <c r="A953" s="7" t="s">
        <v>362</v>
      </c>
      <c r="B953" s="7" t="s">
        <v>360</v>
      </c>
      <c r="C953" s="7" t="s">
        <v>361</v>
      </c>
      <c r="D953" s="7" t="s">
        <v>2275</v>
      </c>
      <c r="E953" s="7" t="s">
        <v>2276</v>
      </c>
      <c r="F953" s="7" t="s">
        <v>2266</v>
      </c>
    </row>
    <row r="954" customFormat="false" ht="15" hidden="false" customHeight="false" outlineLevel="0" collapsed="false">
      <c r="A954" s="7" t="s">
        <v>362</v>
      </c>
      <c r="B954" s="7" t="s">
        <v>360</v>
      </c>
      <c r="C954" s="7" t="s">
        <v>361</v>
      </c>
      <c r="D954" s="7" t="s">
        <v>2277</v>
      </c>
      <c r="E954" s="7" t="s">
        <v>2278</v>
      </c>
      <c r="F954" s="7" t="s">
        <v>2266</v>
      </c>
    </row>
    <row r="955" customFormat="false" ht="15" hidden="false" customHeight="false" outlineLevel="0" collapsed="false">
      <c r="A955" s="7" t="s">
        <v>362</v>
      </c>
      <c r="B955" s="7" t="s">
        <v>360</v>
      </c>
      <c r="C955" s="7" t="s">
        <v>361</v>
      </c>
      <c r="D955" s="7" t="s">
        <v>2279</v>
      </c>
      <c r="E955" s="7" t="s">
        <v>2280</v>
      </c>
      <c r="F955" s="7" t="s">
        <v>2266</v>
      </c>
    </row>
    <row r="956" customFormat="false" ht="15" hidden="false" customHeight="false" outlineLevel="0" collapsed="false">
      <c r="A956" s="7" t="s">
        <v>362</v>
      </c>
      <c r="B956" s="7" t="s">
        <v>360</v>
      </c>
      <c r="C956" s="7" t="s">
        <v>361</v>
      </c>
      <c r="D956" s="7" t="s">
        <v>2281</v>
      </c>
      <c r="E956" s="7" t="s">
        <v>2282</v>
      </c>
      <c r="F956" s="7" t="s">
        <v>2266</v>
      </c>
    </row>
    <row r="957" customFormat="false" ht="15" hidden="false" customHeight="false" outlineLevel="0" collapsed="false">
      <c r="A957" s="7" t="s">
        <v>362</v>
      </c>
      <c r="B957" s="7" t="s">
        <v>360</v>
      </c>
      <c r="C957" s="7" t="s">
        <v>361</v>
      </c>
      <c r="D957" s="7" t="s">
        <v>2283</v>
      </c>
      <c r="E957" s="7" t="s">
        <v>2284</v>
      </c>
      <c r="F957" s="7" t="s">
        <v>2266</v>
      </c>
    </row>
    <row r="958" customFormat="false" ht="15" hidden="false" customHeight="false" outlineLevel="0" collapsed="false">
      <c r="A958" s="7" t="s">
        <v>362</v>
      </c>
      <c r="B958" s="7" t="s">
        <v>360</v>
      </c>
      <c r="C958" s="7" t="s">
        <v>361</v>
      </c>
      <c r="D958" s="7" t="s">
        <v>2285</v>
      </c>
      <c r="E958" s="7" t="s">
        <v>2286</v>
      </c>
      <c r="F958" s="7" t="s">
        <v>2266</v>
      </c>
    </row>
    <row r="959" customFormat="false" ht="15" hidden="false" customHeight="false" outlineLevel="0" collapsed="false">
      <c r="A959" s="7" t="s">
        <v>362</v>
      </c>
      <c r="B959" s="7" t="s">
        <v>360</v>
      </c>
      <c r="C959" s="7" t="s">
        <v>361</v>
      </c>
      <c r="D959" s="7" t="s">
        <v>2287</v>
      </c>
      <c r="E959" s="7" t="s">
        <v>2288</v>
      </c>
      <c r="F959" s="7" t="s">
        <v>2266</v>
      </c>
    </row>
    <row r="960" customFormat="false" ht="15" hidden="false" customHeight="false" outlineLevel="0" collapsed="false">
      <c r="A960" s="7" t="s">
        <v>362</v>
      </c>
      <c r="B960" s="7" t="s">
        <v>360</v>
      </c>
      <c r="C960" s="7" t="s">
        <v>361</v>
      </c>
      <c r="D960" s="7" t="s">
        <v>2289</v>
      </c>
      <c r="E960" s="7" t="s">
        <v>2290</v>
      </c>
      <c r="F960" s="7" t="s">
        <v>2266</v>
      </c>
    </row>
    <row r="961" customFormat="false" ht="15" hidden="false" customHeight="false" outlineLevel="0" collapsed="false">
      <c r="A961" s="7" t="s">
        <v>362</v>
      </c>
      <c r="B961" s="7" t="s">
        <v>360</v>
      </c>
      <c r="C961" s="7" t="s">
        <v>361</v>
      </c>
      <c r="D961" s="7" t="s">
        <v>2291</v>
      </c>
      <c r="E961" s="7" t="s">
        <v>2272</v>
      </c>
      <c r="F961" s="7" t="s">
        <v>2266</v>
      </c>
    </row>
    <row r="962" customFormat="false" ht="15" hidden="false" customHeight="false" outlineLevel="0" collapsed="false">
      <c r="A962" s="7" t="s">
        <v>362</v>
      </c>
      <c r="B962" s="7" t="s">
        <v>360</v>
      </c>
      <c r="C962" s="7" t="s">
        <v>361</v>
      </c>
      <c r="D962" s="7" t="s">
        <v>2292</v>
      </c>
      <c r="E962" s="7" t="s">
        <v>2293</v>
      </c>
      <c r="F962" s="7" t="s">
        <v>2266</v>
      </c>
    </row>
    <row r="963" customFormat="false" ht="15" hidden="false" customHeight="false" outlineLevel="0" collapsed="false">
      <c r="A963" s="7" t="s">
        <v>362</v>
      </c>
      <c r="B963" s="7" t="s">
        <v>360</v>
      </c>
      <c r="C963" s="7" t="s">
        <v>361</v>
      </c>
      <c r="D963" s="7" t="s">
        <v>2294</v>
      </c>
      <c r="E963" s="7" t="s">
        <v>2295</v>
      </c>
      <c r="F963" s="7" t="s">
        <v>2266</v>
      </c>
    </row>
    <row r="964" customFormat="false" ht="15" hidden="false" customHeight="false" outlineLevel="0" collapsed="false">
      <c r="A964" s="7" t="s">
        <v>362</v>
      </c>
      <c r="B964" s="7" t="s">
        <v>360</v>
      </c>
      <c r="C964" s="7" t="s">
        <v>361</v>
      </c>
      <c r="D964" s="7" t="s">
        <v>2296</v>
      </c>
      <c r="E964" s="7" t="s">
        <v>2297</v>
      </c>
      <c r="F964" s="7" t="s">
        <v>2266</v>
      </c>
    </row>
    <row r="965" customFormat="false" ht="15" hidden="false" customHeight="false" outlineLevel="0" collapsed="false">
      <c r="A965" s="7" t="s">
        <v>362</v>
      </c>
      <c r="B965" s="7" t="s">
        <v>360</v>
      </c>
      <c r="C965" s="7" t="s">
        <v>361</v>
      </c>
      <c r="D965" s="7" t="s">
        <v>2298</v>
      </c>
      <c r="E965" s="7" t="s">
        <v>2299</v>
      </c>
      <c r="F965" s="7" t="s">
        <v>2266</v>
      </c>
    </row>
    <row r="966" customFormat="false" ht="15" hidden="false" customHeight="false" outlineLevel="0" collapsed="false">
      <c r="A966" s="7" t="s">
        <v>362</v>
      </c>
      <c r="B966" s="7" t="s">
        <v>360</v>
      </c>
      <c r="C966" s="7" t="s">
        <v>361</v>
      </c>
      <c r="D966" s="7" t="s">
        <v>2300</v>
      </c>
      <c r="E966" s="7" t="s">
        <v>2301</v>
      </c>
      <c r="F966" s="7" t="s">
        <v>2266</v>
      </c>
    </row>
    <row r="967" customFormat="false" ht="15" hidden="false" customHeight="false" outlineLevel="0" collapsed="false">
      <c r="A967" s="7" t="s">
        <v>362</v>
      </c>
      <c r="B967" s="7" t="s">
        <v>360</v>
      </c>
      <c r="C967" s="7" t="s">
        <v>361</v>
      </c>
      <c r="D967" s="7" t="s">
        <v>2302</v>
      </c>
      <c r="E967" s="7" t="s">
        <v>2303</v>
      </c>
      <c r="F967" s="7" t="s">
        <v>2266</v>
      </c>
    </row>
    <row r="968" customFormat="false" ht="15" hidden="false" customHeight="false" outlineLevel="0" collapsed="false">
      <c r="A968" s="7" t="s">
        <v>362</v>
      </c>
      <c r="B968" s="7" t="s">
        <v>360</v>
      </c>
      <c r="C968" s="7" t="s">
        <v>361</v>
      </c>
      <c r="D968" s="7" t="s">
        <v>2304</v>
      </c>
      <c r="E968" s="7" t="s">
        <v>2305</v>
      </c>
      <c r="F968" s="7" t="s">
        <v>2266</v>
      </c>
    </row>
    <row r="969" customFormat="false" ht="15" hidden="false" customHeight="false" outlineLevel="0" collapsed="false">
      <c r="A969" s="7" t="s">
        <v>362</v>
      </c>
      <c r="B969" s="7" t="s">
        <v>360</v>
      </c>
      <c r="C969" s="7" t="s">
        <v>361</v>
      </c>
      <c r="D969" s="7" t="s">
        <v>2306</v>
      </c>
      <c r="E969" s="7" t="s">
        <v>2307</v>
      </c>
      <c r="F969" s="7" t="s">
        <v>2266</v>
      </c>
    </row>
    <row r="970" customFormat="false" ht="15" hidden="false" customHeight="false" outlineLevel="0" collapsed="false">
      <c r="A970" s="7" t="s">
        <v>362</v>
      </c>
      <c r="B970" s="7" t="s">
        <v>360</v>
      </c>
      <c r="C970" s="7" t="s">
        <v>361</v>
      </c>
      <c r="D970" s="7" t="s">
        <v>2308</v>
      </c>
      <c r="E970" s="7" t="s">
        <v>2309</v>
      </c>
      <c r="F970" s="7" t="s">
        <v>2266</v>
      </c>
    </row>
    <row r="971" customFormat="false" ht="15" hidden="false" customHeight="false" outlineLevel="0" collapsed="false">
      <c r="A971" s="7" t="s">
        <v>362</v>
      </c>
      <c r="B971" s="7" t="s">
        <v>360</v>
      </c>
      <c r="C971" s="7" t="s">
        <v>361</v>
      </c>
      <c r="D971" s="7" t="s">
        <v>2310</v>
      </c>
      <c r="E971" s="7" t="s">
        <v>2311</v>
      </c>
      <c r="F971" s="7" t="s">
        <v>2266</v>
      </c>
    </row>
    <row r="972" customFormat="false" ht="15" hidden="false" customHeight="false" outlineLevel="0" collapsed="false">
      <c r="A972" s="7" t="s">
        <v>362</v>
      </c>
      <c r="B972" s="7" t="s">
        <v>360</v>
      </c>
      <c r="C972" s="7" t="s">
        <v>361</v>
      </c>
      <c r="D972" s="7" t="s">
        <v>2312</v>
      </c>
      <c r="E972" s="7" t="s">
        <v>2313</v>
      </c>
      <c r="F972" s="7" t="s">
        <v>2266</v>
      </c>
    </row>
    <row r="973" customFormat="false" ht="15" hidden="false" customHeight="false" outlineLevel="0" collapsed="false">
      <c r="A973" s="7" t="s">
        <v>362</v>
      </c>
      <c r="B973" s="7" t="s">
        <v>360</v>
      </c>
      <c r="C973" s="7" t="s">
        <v>361</v>
      </c>
      <c r="D973" s="7" t="s">
        <v>2314</v>
      </c>
      <c r="E973" s="7" t="s">
        <v>2315</v>
      </c>
      <c r="F973" s="7" t="s">
        <v>2266</v>
      </c>
    </row>
    <row r="974" customFormat="false" ht="15" hidden="false" customHeight="false" outlineLevel="0" collapsed="false">
      <c r="A974" s="7" t="s">
        <v>362</v>
      </c>
      <c r="B974" s="7" t="s">
        <v>360</v>
      </c>
      <c r="C974" s="7" t="s">
        <v>361</v>
      </c>
      <c r="D974" s="7" t="s">
        <v>2316</v>
      </c>
      <c r="E974" s="7" t="s">
        <v>2317</v>
      </c>
      <c r="F974" s="7" t="s">
        <v>2266</v>
      </c>
    </row>
    <row r="975" customFormat="false" ht="15" hidden="false" customHeight="false" outlineLevel="0" collapsed="false">
      <c r="A975" s="7" t="s">
        <v>362</v>
      </c>
      <c r="B975" s="7" t="s">
        <v>360</v>
      </c>
      <c r="C975" s="7" t="s">
        <v>361</v>
      </c>
      <c r="D975" s="7" t="s">
        <v>2318</v>
      </c>
      <c r="E975" s="7" t="s">
        <v>2319</v>
      </c>
      <c r="F975" s="7" t="s">
        <v>2266</v>
      </c>
    </row>
    <row r="976" customFormat="false" ht="15" hidden="false" customHeight="false" outlineLevel="0" collapsed="false">
      <c r="A976" s="7" t="s">
        <v>362</v>
      </c>
      <c r="B976" s="7" t="s">
        <v>360</v>
      </c>
      <c r="C976" s="7" t="s">
        <v>361</v>
      </c>
      <c r="D976" s="7" t="s">
        <v>2320</v>
      </c>
      <c r="E976" s="7" t="s">
        <v>2321</v>
      </c>
      <c r="F976" s="7" t="s">
        <v>2266</v>
      </c>
    </row>
    <row r="977" customFormat="false" ht="15" hidden="false" customHeight="false" outlineLevel="0" collapsed="false">
      <c r="A977" s="7" t="s">
        <v>362</v>
      </c>
      <c r="B977" s="7" t="s">
        <v>360</v>
      </c>
      <c r="C977" s="7" t="s">
        <v>361</v>
      </c>
      <c r="D977" s="7" t="s">
        <v>2322</v>
      </c>
      <c r="E977" s="7" t="s">
        <v>2323</v>
      </c>
      <c r="F977" s="7" t="s">
        <v>2266</v>
      </c>
    </row>
    <row r="978" customFormat="false" ht="15" hidden="false" customHeight="false" outlineLevel="0" collapsed="false">
      <c r="A978" s="7" t="s">
        <v>362</v>
      </c>
      <c r="B978" s="7" t="s">
        <v>360</v>
      </c>
      <c r="C978" s="7" t="s">
        <v>361</v>
      </c>
      <c r="D978" s="7" t="s">
        <v>2324</v>
      </c>
      <c r="E978" s="7" t="s">
        <v>2325</v>
      </c>
      <c r="F978" s="7" t="s">
        <v>2266</v>
      </c>
    </row>
    <row r="979" customFormat="false" ht="15" hidden="false" customHeight="false" outlineLevel="0" collapsed="false">
      <c r="A979" s="7" t="s">
        <v>362</v>
      </c>
      <c r="B979" s="7" t="s">
        <v>360</v>
      </c>
      <c r="C979" s="7" t="s">
        <v>361</v>
      </c>
      <c r="D979" s="7" t="s">
        <v>2326</v>
      </c>
      <c r="E979" s="7" t="s">
        <v>2327</v>
      </c>
      <c r="F979" s="7" t="s">
        <v>2266</v>
      </c>
    </row>
    <row r="980" customFormat="false" ht="15" hidden="false" customHeight="false" outlineLevel="0" collapsed="false">
      <c r="A980" s="7" t="s">
        <v>362</v>
      </c>
      <c r="B980" s="7" t="s">
        <v>360</v>
      </c>
      <c r="C980" s="7" t="s">
        <v>361</v>
      </c>
      <c r="D980" s="7" t="s">
        <v>2328</v>
      </c>
      <c r="E980" s="7" t="s">
        <v>2329</v>
      </c>
      <c r="F980" s="7" t="s">
        <v>2266</v>
      </c>
    </row>
    <row r="981" customFormat="false" ht="15" hidden="false" customHeight="false" outlineLevel="0" collapsed="false">
      <c r="A981" s="7" t="s">
        <v>362</v>
      </c>
      <c r="B981" s="7" t="s">
        <v>360</v>
      </c>
      <c r="C981" s="7" t="s">
        <v>361</v>
      </c>
      <c r="D981" s="7" t="s">
        <v>2330</v>
      </c>
      <c r="E981" s="7" t="s">
        <v>2331</v>
      </c>
      <c r="F981" s="7" t="s">
        <v>2266</v>
      </c>
    </row>
    <row r="982" customFormat="false" ht="15" hidden="false" customHeight="false" outlineLevel="0" collapsed="false">
      <c r="A982" s="7" t="s">
        <v>362</v>
      </c>
      <c r="B982" s="7" t="s">
        <v>360</v>
      </c>
      <c r="C982" s="7" t="s">
        <v>361</v>
      </c>
      <c r="D982" s="7" t="s">
        <v>2332</v>
      </c>
      <c r="E982" s="7" t="s">
        <v>2333</v>
      </c>
      <c r="F982" s="7" t="s">
        <v>2266</v>
      </c>
    </row>
    <row r="983" customFormat="false" ht="15" hidden="false" customHeight="false" outlineLevel="0" collapsed="false">
      <c r="A983" s="7" t="s">
        <v>362</v>
      </c>
      <c r="B983" s="7" t="s">
        <v>360</v>
      </c>
      <c r="C983" s="7" t="s">
        <v>361</v>
      </c>
      <c r="D983" s="7" t="s">
        <v>2334</v>
      </c>
      <c r="E983" s="7" t="s">
        <v>2335</v>
      </c>
      <c r="F983" s="7" t="s">
        <v>2266</v>
      </c>
    </row>
    <row r="984" customFormat="false" ht="15" hidden="false" customHeight="false" outlineLevel="0" collapsed="false">
      <c r="A984" s="7" t="s">
        <v>362</v>
      </c>
      <c r="B984" s="7" t="s">
        <v>360</v>
      </c>
      <c r="C984" s="7" t="s">
        <v>361</v>
      </c>
      <c r="D984" s="7" t="s">
        <v>2336</v>
      </c>
      <c r="E984" s="7" t="s">
        <v>2337</v>
      </c>
      <c r="F984" s="7" t="s">
        <v>2266</v>
      </c>
    </row>
    <row r="985" customFormat="false" ht="15" hidden="false" customHeight="false" outlineLevel="0" collapsed="false">
      <c r="A985" s="7" t="s">
        <v>362</v>
      </c>
      <c r="B985" s="7" t="s">
        <v>360</v>
      </c>
      <c r="C985" s="7" t="s">
        <v>361</v>
      </c>
      <c r="D985" s="7" t="s">
        <v>2338</v>
      </c>
      <c r="E985" s="7" t="s">
        <v>2339</v>
      </c>
      <c r="F985" s="7" t="s">
        <v>2266</v>
      </c>
    </row>
    <row r="986" customFormat="false" ht="15" hidden="false" customHeight="false" outlineLevel="0" collapsed="false">
      <c r="A986" s="7" t="s">
        <v>362</v>
      </c>
      <c r="B986" s="7" t="s">
        <v>360</v>
      </c>
      <c r="C986" s="7" t="s">
        <v>361</v>
      </c>
      <c r="D986" s="7" t="s">
        <v>2340</v>
      </c>
      <c r="E986" s="7" t="s">
        <v>2341</v>
      </c>
      <c r="F986" s="7" t="s">
        <v>2266</v>
      </c>
    </row>
    <row r="987" customFormat="false" ht="15" hidden="false" customHeight="false" outlineLevel="0" collapsed="false">
      <c r="A987" s="7" t="s">
        <v>362</v>
      </c>
      <c r="B987" s="7" t="s">
        <v>360</v>
      </c>
      <c r="C987" s="7" t="s">
        <v>361</v>
      </c>
      <c r="D987" s="7" t="s">
        <v>2342</v>
      </c>
      <c r="E987" s="7" t="s">
        <v>2343</v>
      </c>
      <c r="F987" s="7" t="s">
        <v>2266</v>
      </c>
    </row>
    <row r="988" customFormat="false" ht="15" hidden="false" customHeight="false" outlineLevel="0" collapsed="false">
      <c r="A988" s="7" t="s">
        <v>362</v>
      </c>
      <c r="B988" s="7" t="s">
        <v>360</v>
      </c>
      <c r="C988" s="7" t="s">
        <v>361</v>
      </c>
      <c r="D988" s="7" t="s">
        <v>2344</v>
      </c>
      <c r="E988" s="7" t="s">
        <v>2345</v>
      </c>
      <c r="F988" s="7" t="s">
        <v>2266</v>
      </c>
    </row>
    <row r="989" customFormat="false" ht="15" hidden="false" customHeight="false" outlineLevel="0" collapsed="false">
      <c r="A989" s="7" t="s">
        <v>362</v>
      </c>
      <c r="B989" s="7" t="s">
        <v>360</v>
      </c>
      <c r="C989" s="7" t="s">
        <v>361</v>
      </c>
      <c r="D989" s="7" t="s">
        <v>2346</v>
      </c>
      <c r="E989" s="7" t="s">
        <v>2347</v>
      </c>
      <c r="F989" s="7" t="s">
        <v>2266</v>
      </c>
    </row>
    <row r="990" customFormat="false" ht="15" hidden="false" customHeight="false" outlineLevel="0" collapsed="false">
      <c r="A990" s="7" t="s">
        <v>362</v>
      </c>
      <c r="B990" s="7" t="s">
        <v>360</v>
      </c>
      <c r="C990" s="7" t="s">
        <v>361</v>
      </c>
      <c r="D990" s="7" t="s">
        <v>2348</v>
      </c>
      <c r="E990" s="7" t="s">
        <v>2349</v>
      </c>
      <c r="F990" s="7" t="s">
        <v>2266</v>
      </c>
    </row>
    <row r="991" customFormat="false" ht="15" hidden="false" customHeight="false" outlineLevel="0" collapsed="false">
      <c r="A991" s="7" t="s">
        <v>362</v>
      </c>
      <c r="B991" s="7" t="s">
        <v>360</v>
      </c>
      <c r="C991" s="7" t="s">
        <v>361</v>
      </c>
      <c r="D991" s="7" t="s">
        <v>2350</v>
      </c>
      <c r="E991" s="7" t="s">
        <v>2351</v>
      </c>
      <c r="F991" s="7" t="s">
        <v>2266</v>
      </c>
    </row>
    <row r="992" customFormat="false" ht="15" hidden="false" customHeight="false" outlineLevel="0" collapsed="false">
      <c r="A992" s="7" t="s">
        <v>362</v>
      </c>
      <c r="B992" s="7" t="s">
        <v>360</v>
      </c>
      <c r="C992" s="7" t="s">
        <v>361</v>
      </c>
      <c r="D992" s="7" t="s">
        <v>2352</v>
      </c>
      <c r="E992" s="7" t="s">
        <v>2353</v>
      </c>
      <c r="F992" s="7" t="s">
        <v>2266</v>
      </c>
    </row>
    <row r="993" customFormat="false" ht="15" hidden="false" customHeight="false" outlineLevel="0" collapsed="false">
      <c r="A993" s="7" t="s">
        <v>362</v>
      </c>
      <c r="B993" s="7" t="s">
        <v>360</v>
      </c>
      <c r="C993" s="7" t="s">
        <v>361</v>
      </c>
      <c r="D993" s="7" t="s">
        <v>2354</v>
      </c>
      <c r="E993" s="7" t="s">
        <v>2355</v>
      </c>
      <c r="F993" s="7" t="s">
        <v>2266</v>
      </c>
    </row>
    <row r="994" customFormat="false" ht="15" hidden="false" customHeight="false" outlineLevel="0" collapsed="false">
      <c r="A994" s="7" t="s">
        <v>362</v>
      </c>
      <c r="B994" s="7" t="s">
        <v>360</v>
      </c>
      <c r="C994" s="7" t="s">
        <v>361</v>
      </c>
      <c r="D994" s="7" t="s">
        <v>2356</v>
      </c>
      <c r="E994" s="7" t="s">
        <v>2357</v>
      </c>
      <c r="F994" s="7" t="s">
        <v>2266</v>
      </c>
    </row>
    <row r="995" customFormat="false" ht="15" hidden="false" customHeight="false" outlineLevel="0" collapsed="false">
      <c r="A995" s="7" t="s">
        <v>362</v>
      </c>
      <c r="B995" s="7" t="s">
        <v>360</v>
      </c>
      <c r="C995" s="7" t="s">
        <v>361</v>
      </c>
      <c r="D995" s="7" t="s">
        <v>2358</v>
      </c>
      <c r="E995" s="7" t="s">
        <v>2359</v>
      </c>
      <c r="F995" s="7" t="s">
        <v>2266</v>
      </c>
    </row>
    <row r="996" customFormat="false" ht="15" hidden="false" customHeight="false" outlineLevel="0" collapsed="false">
      <c r="A996" s="7" t="s">
        <v>362</v>
      </c>
      <c r="B996" s="7" t="s">
        <v>360</v>
      </c>
      <c r="C996" s="7" t="s">
        <v>361</v>
      </c>
      <c r="D996" s="7" t="s">
        <v>2360</v>
      </c>
      <c r="E996" s="7" t="s">
        <v>2361</v>
      </c>
      <c r="F996" s="7" t="s">
        <v>2266</v>
      </c>
    </row>
    <row r="997" customFormat="false" ht="15" hidden="false" customHeight="false" outlineLevel="0" collapsed="false">
      <c r="A997" s="7" t="s">
        <v>362</v>
      </c>
      <c r="B997" s="7" t="s">
        <v>360</v>
      </c>
      <c r="C997" s="7" t="s">
        <v>361</v>
      </c>
      <c r="D997" s="7" t="s">
        <v>2362</v>
      </c>
      <c r="E997" s="7" t="s">
        <v>2363</v>
      </c>
      <c r="F997" s="7" t="s">
        <v>2266</v>
      </c>
    </row>
    <row r="998" customFormat="false" ht="15" hidden="false" customHeight="false" outlineLevel="0" collapsed="false">
      <c r="A998" s="7" t="s">
        <v>362</v>
      </c>
      <c r="B998" s="7" t="s">
        <v>360</v>
      </c>
      <c r="C998" s="7" t="s">
        <v>361</v>
      </c>
      <c r="D998" s="7" t="s">
        <v>2364</v>
      </c>
      <c r="E998" s="7" t="s">
        <v>2365</v>
      </c>
      <c r="F998" s="7" t="s">
        <v>2266</v>
      </c>
    </row>
    <row r="999" customFormat="false" ht="15" hidden="false" customHeight="false" outlineLevel="0" collapsed="false">
      <c r="A999" s="7" t="s">
        <v>362</v>
      </c>
      <c r="B999" s="7" t="s">
        <v>360</v>
      </c>
      <c r="C999" s="7" t="s">
        <v>361</v>
      </c>
      <c r="D999" s="7" t="s">
        <v>2366</v>
      </c>
      <c r="E999" s="7" t="s">
        <v>2367</v>
      </c>
      <c r="F999" s="7" t="s">
        <v>2266</v>
      </c>
    </row>
    <row r="1000" customFormat="false" ht="15" hidden="false" customHeight="false" outlineLevel="0" collapsed="false">
      <c r="A1000" s="7" t="s">
        <v>362</v>
      </c>
      <c r="B1000" s="7" t="s">
        <v>360</v>
      </c>
      <c r="C1000" s="7" t="s">
        <v>361</v>
      </c>
      <c r="D1000" s="7" t="s">
        <v>2368</v>
      </c>
      <c r="E1000" s="7" t="s">
        <v>2369</v>
      </c>
      <c r="F1000" s="7" t="s">
        <v>2266</v>
      </c>
    </row>
    <row r="1001" customFormat="false" ht="15" hidden="false" customHeight="false" outlineLevel="0" collapsed="false">
      <c r="A1001" s="7" t="s">
        <v>362</v>
      </c>
      <c r="B1001" s="7" t="s">
        <v>360</v>
      </c>
      <c r="C1001" s="7" t="s">
        <v>361</v>
      </c>
      <c r="D1001" s="7" t="s">
        <v>2370</v>
      </c>
      <c r="E1001" s="7" t="s">
        <v>2371</v>
      </c>
      <c r="F1001" s="7" t="s">
        <v>2266</v>
      </c>
    </row>
    <row r="1002" customFormat="false" ht="15" hidden="false" customHeight="false" outlineLevel="0" collapsed="false">
      <c r="A1002" s="7" t="s">
        <v>362</v>
      </c>
      <c r="B1002" s="7" t="s">
        <v>360</v>
      </c>
      <c r="C1002" s="7" t="s">
        <v>361</v>
      </c>
      <c r="D1002" s="7" t="s">
        <v>2372</v>
      </c>
      <c r="E1002" s="7" t="s">
        <v>2373</v>
      </c>
      <c r="F1002" s="7" t="s">
        <v>2266</v>
      </c>
    </row>
    <row r="1003" customFormat="false" ht="15" hidden="false" customHeight="false" outlineLevel="0" collapsed="false">
      <c r="A1003" s="7" t="s">
        <v>363</v>
      </c>
      <c r="B1003" s="7" t="s">
        <v>360</v>
      </c>
      <c r="C1003" s="7" t="s">
        <v>361</v>
      </c>
      <c r="D1003" s="7" t="s">
        <v>2374</v>
      </c>
      <c r="E1003" s="7" t="s">
        <v>167</v>
      </c>
      <c r="F1003" s="7" t="s">
        <v>2375</v>
      </c>
    </row>
    <row r="1004" customFormat="false" ht="15" hidden="false" customHeight="false" outlineLevel="0" collapsed="false">
      <c r="A1004" s="7" t="s">
        <v>363</v>
      </c>
      <c r="B1004" s="7" t="s">
        <v>360</v>
      </c>
      <c r="C1004" s="7" t="s">
        <v>361</v>
      </c>
      <c r="D1004" s="7" t="s">
        <v>2376</v>
      </c>
      <c r="E1004" s="7" t="s">
        <v>312</v>
      </c>
      <c r="F1004" s="7" t="s">
        <v>2377</v>
      </c>
    </row>
    <row r="1005" customFormat="false" ht="15" hidden="false" customHeight="false" outlineLevel="0" collapsed="false">
      <c r="A1005" s="7" t="s">
        <v>363</v>
      </c>
      <c r="B1005" s="7" t="s">
        <v>360</v>
      </c>
      <c r="C1005" s="7" t="s">
        <v>361</v>
      </c>
      <c r="D1005" s="7" t="s">
        <v>2378</v>
      </c>
      <c r="E1005" s="7" t="s">
        <v>87</v>
      </c>
      <c r="F1005" s="7" t="s">
        <v>2377</v>
      </c>
    </row>
    <row r="1006" customFormat="false" ht="15" hidden="false" customHeight="false" outlineLevel="0" collapsed="false">
      <c r="A1006" s="7" t="s">
        <v>363</v>
      </c>
      <c r="B1006" s="7" t="s">
        <v>360</v>
      </c>
      <c r="C1006" s="7" t="s">
        <v>361</v>
      </c>
      <c r="D1006" s="7" t="s">
        <v>2379</v>
      </c>
      <c r="E1006" s="7" t="s">
        <v>238</v>
      </c>
      <c r="F1006" s="7" t="s">
        <v>2380</v>
      </c>
    </row>
    <row r="1007" customFormat="false" ht="15" hidden="false" customHeight="false" outlineLevel="0" collapsed="false">
      <c r="A1007" s="7" t="s">
        <v>363</v>
      </c>
      <c r="B1007" s="7" t="s">
        <v>360</v>
      </c>
      <c r="C1007" s="7" t="s">
        <v>361</v>
      </c>
      <c r="D1007" s="7" t="s">
        <v>2381</v>
      </c>
      <c r="E1007" s="7" t="s">
        <v>277</v>
      </c>
      <c r="F1007" s="7" t="s">
        <v>2382</v>
      </c>
    </row>
    <row r="1008" customFormat="false" ht="15" hidden="false" customHeight="false" outlineLevel="0" collapsed="false">
      <c r="A1008" s="7" t="s">
        <v>363</v>
      </c>
      <c r="B1008" s="7" t="s">
        <v>360</v>
      </c>
      <c r="C1008" s="7" t="s">
        <v>361</v>
      </c>
      <c r="D1008" s="7" t="s">
        <v>2383</v>
      </c>
      <c r="E1008" s="7" t="s">
        <v>248</v>
      </c>
      <c r="F1008" s="7" t="s">
        <v>2382</v>
      </c>
    </row>
    <row r="1009" customFormat="false" ht="15" hidden="false" customHeight="false" outlineLevel="0" collapsed="false">
      <c r="A1009" s="7" t="s">
        <v>363</v>
      </c>
      <c r="B1009" s="7" t="s">
        <v>360</v>
      </c>
      <c r="C1009" s="7" t="s">
        <v>361</v>
      </c>
      <c r="D1009" s="7" t="s">
        <v>2384</v>
      </c>
      <c r="E1009" s="7" t="s">
        <v>226</v>
      </c>
      <c r="F1009" s="7" t="s">
        <v>2385</v>
      </c>
    </row>
    <row r="1010" customFormat="false" ht="15" hidden="false" customHeight="false" outlineLevel="0" collapsed="false">
      <c r="A1010" s="7" t="s">
        <v>363</v>
      </c>
      <c r="B1010" s="7" t="s">
        <v>360</v>
      </c>
      <c r="C1010" s="7" t="s">
        <v>361</v>
      </c>
      <c r="D1010" s="7" t="s">
        <v>2386</v>
      </c>
      <c r="E1010" s="7" t="s">
        <v>264</v>
      </c>
      <c r="F1010" s="7" t="s">
        <v>2387</v>
      </c>
    </row>
    <row r="1011" customFormat="false" ht="15" hidden="false" customHeight="false" outlineLevel="0" collapsed="false">
      <c r="A1011" s="7" t="s">
        <v>363</v>
      </c>
      <c r="B1011" s="7" t="s">
        <v>360</v>
      </c>
      <c r="C1011" s="7" t="s">
        <v>361</v>
      </c>
      <c r="D1011" s="7" t="s">
        <v>2388</v>
      </c>
      <c r="E1011" s="7" t="s">
        <v>307</v>
      </c>
      <c r="F1011" s="7" t="s">
        <v>2389</v>
      </c>
    </row>
    <row r="1012" customFormat="false" ht="15" hidden="false" customHeight="false" outlineLevel="0" collapsed="false">
      <c r="A1012" s="7" t="s">
        <v>363</v>
      </c>
      <c r="B1012" s="7" t="s">
        <v>360</v>
      </c>
      <c r="C1012" s="7" t="s">
        <v>361</v>
      </c>
      <c r="D1012" s="7" t="s">
        <v>2390</v>
      </c>
      <c r="E1012" s="7" t="s">
        <v>155</v>
      </c>
      <c r="F1012" s="7" t="s">
        <v>2391</v>
      </c>
    </row>
    <row r="1013" customFormat="false" ht="15" hidden="false" customHeight="false" outlineLevel="0" collapsed="false">
      <c r="A1013" s="7" t="s">
        <v>363</v>
      </c>
      <c r="B1013" s="7" t="s">
        <v>360</v>
      </c>
      <c r="C1013" s="7" t="s">
        <v>361</v>
      </c>
      <c r="D1013" s="7" t="s">
        <v>2392</v>
      </c>
      <c r="E1013" s="7" t="s">
        <v>109</v>
      </c>
      <c r="F1013" s="7" t="s">
        <v>2375</v>
      </c>
    </row>
    <row r="1014" customFormat="false" ht="15" hidden="false" customHeight="false" outlineLevel="0" collapsed="false">
      <c r="A1014" s="7" t="s">
        <v>363</v>
      </c>
      <c r="B1014" s="7" t="s">
        <v>360</v>
      </c>
      <c r="C1014" s="7" t="s">
        <v>361</v>
      </c>
      <c r="D1014" s="7" t="s">
        <v>2393</v>
      </c>
      <c r="E1014" s="7" t="s">
        <v>209</v>
      </c>
      <c r="F1014" s="7" t="s">
        <v>2394</v>
      </c>
    </row>
    <row r="1015" customFormat="false" ht="15" hidden="false" customHeight="false" outlineLevel="0" collapsed="false">
      <c r="A1015" s="7" t="s">
        <v>363</v>
      </c>
      <c r="B1015" s="7" t="s">
        <v>360</v>
      </c>
      <c r="C1015" s="7" t="s">
        <v>361</v>
      </c>
      <c r="D1015" s="7" t="s">
        <v>2395</v>
      </c>
      <c r="E1015" s="7" t="s">
        <v>65</v>
      </c>
      <c r="F1015" s="7" t="s">
        <v>2387</v>
      </c>
    </row>
    <row r="1016" customFormat="false" ht="15" hidden="false" customHeight="false" outlineLevel="0" collapsed="false">
      <c r="A1016" s="7" t="s">
        <v>363</v>
      </c>
      <c r="B1016" s="7" t="s">
        <v>360</v>
      </c>
      <c r="C1016" s="7" t="s">
        <v>361</v>
      </c>
      <c r="D1016" s="7" t="s">
        <v>2396</v>
      </c>
      <c r="E1016" s="7" t="s">
        <v>163</v>
      </c>
      <c r="F1016" s="7" t="s">
        <v>2382</v>
      </c>
    </row>
    <row r="1017" customFormat="false" ht="15" hidden="false" customHeight="false" outlineLevel="0" collapsed="false">
      <c r="A1017" s="7" t="s">
        <v>363</v>
      </c>
      <c r="B1017" s="7" t="s">
        <v>360</v>
      </c>
      <c r="C1017" s="7" t="s">
        <v>361</v>
      </c>
      <c r="D1017" s="7" t="s">
        <v>2397</v>
      </c>
      <c r="E1017" s="7" t="s">
        <v>336</v>
      </c>
      <c r="F1017" s="7" t="s">
        <v>2398</v>
      </c>
    </row>
    <row r="1018" customFormat="false" ht="15" hidden="false" customHeight="false" outlineLevel="0" collapsed="false">
      <c r="A1018" s="7" t="s">
        <v>363</v>
      </c>
      <c r="B1018" s="7" t="s">
        <v>360</v>
      </c>
      <c r="C1018" s="7" t="s">
        <v>361</v>
      </c>
      <c r="D1018" s="7" t="s">
        <v>2399</v>
      </c>
      <c r="E1018" s="7" t="s">
        <v>63</v>
      </c>
      <c r="F1018" s="7" t="s">
        <v>2400</v>
      </c>
    </row>
    <row r="1019" customFormat="false" ht="15" hidden="false" customHeight="false" outlineLevel="0" collapsed="false">
      <c r="A1019" s="7" t="s">
        <v>363</v>
      </c>
      <c r="B1019" s="7" t="s">
        <v>360</v>
      </c>
      <c r="C1019" s="7" t="s">
        <v>361</v>
      </c>
      <c r="D1019" s="7" t="s">
        <v>2401</v>
      </c>
      <c r="E1019" s="7" t="s">
        <v>347</v>
      </c>
      <c r="F1019" s="7" t="s">
        <v>2402</v>
      </c>
    </row>
    <row r="1020" customFormat="false" ht="15" hidden="false" customHeight="false" outlineLevel="0" collapsed="false">
      <c r="A1020" s="7" t="s">
        <v>363</v>
      </c>
      <c r="B1020" s="7" t="s">
        <v>360</v>
      </c>
      <c r="C1020" s="7" t="s">
        <v>361</v>
      </c>
      <c r="D1020" s="7" t="s">
        <v>2403</v>
      </c>
      <c r="E1020" s="7" t="s">
        <v>111</v>
      </c>
      <c r="F1020" s="7" t="s">
        <v>2400</v>
      </c>
    </row>
    <row r="1021" customFormat="false" ht="15" hidden="false" customHeight="false" outlineLevel="0" collapsed="false">
      <c r="A1021" s="7" t="s">
        <v>363</v>
      </c>
      <c r="B1021" s="7" t="s">
        <v>360</v>
      </c>
      <c r="C1021" s="7" t="s">
        <v>361</v>
      </c>
      <c r="D1021" s="7" t="s">
        <v>2404</v>
      </c>
      <c r="E1021" s="7" t="s">
        <v>94</v>
      </c>
      <c r="F1021" s="7" t="s">
        <v>2405</v>
      </c>
    </row>
    <row r="1022" customFormat="false" ht="15" hidden="false" customHeight="false" outlineLevel="0" collapsed="false">
      <c r="A1022" s="7" t="s">
        <v>363</v>
      </c>
      <c r="B1022" s="7" t="s">
        <v>360</v>
      </c>
      <c r="C1022" s="7" t="s">
        <v>361</v>
      </c>
      <c r="D1022" s="7" t="s">
        <v>2406</v>
      </c>
      <c r="E1022" s="7" t="s">
        <v>218</v>
      </c>
      <c r="F1022" s="7" t="s">
        <v>2380</v>
      </c>
    </row>
    <row r="1023" customFormat="false" ht="15" hidden="false" customHeight="false" outlineLevel="0" collapsed="false">
      <c r="A1023" s="7" t="s">
        <v>363</v>
      </c>
      <c r="B1023" s="7" t="s">
        <v>360</v>
      </c>
      <c r="C1023" s="7" t="s">
        <v>361</v>
      </c>
      <c r="D1023" s="7" t="s">
        <v>2407</v>
      </c>
      <c r="E1023" s="7" t="s">
        <v>102</v>
      </c>
      <c r="F1023" s="7" t="s">
        <v>2385</v>
      </c>
    </row>
    <row r="1024" customFormat="false" ht="15" hidden="false" customHeight="false" outlineLevel="0" collapsed="false">
      <c r="A1024" s="7" t="s">
        <v>363</v>
      </c>
      <c r="B1024" s="7" t="s">
        <v>360</v>
      </c>
      <c r="C1024" s="7" t="s">
        <v>361</v>
      </c>
      <c r="D1024" s="7" t="s">
        <v>2408</v>
      </c>
      <c r="E1024" s="7" t="s">
        <v>235</v>
      </c>
      <c r="F1024" s="7" t="s">
        <v>2409</v>
      </c>
    </row>
    <row r="1025" customFormat="false" ht="15" hidden="false" customHeight="false" outlineLevel="0" collapsed="false">
      <c r="A1025" s="7" t="s">
        <v>363</v>
      </c>
      <c r="B1025" s="7" t="s">
        <v>360</v>
      </c>
      <c r="C1025" s="7" t="s">
        <v>361</v>
      </c>
      <c r="D1025" s="7" t="s">
        <v>2410</v>
      </c>
      <c r="E1025" s="7" t="s">
        <v>291</v>
      </c>
      <c r="F1025" s="7" t="s">
        <v>2402</v>
      </c>
    </row>
    <row r="1026" customFormat="false" ht="15" hidden="false" customHeight="false" outlineLevel="0" collapsed="false">
      <c r="A1026" s="7" t="s">
        <v>363</v>
      </c>
      <c r="B1026" s="7" t="s">
        <v>360</v>
      </c>
      <c r="C1026" s="7" t="s">
        <v>361</v>
      </c>
      <c r="D1026" s="7" t="s">
        <v>2411</v>
      </c>
      <c r="E1026" s="7" t="s">
        <v>336</v>
      </c>
      <c r="F1026" s="7" t="s">
        <v>2409</v>
      </c>
    </row>
    <row r="1027" customFormat="false" ht="15" hidden="false" customHeight="false" outlineLevel="0" collapsed="false">
      <c r="A1027" s="7" t="s">
        <v>363</v>
      </c>
      <c r="B1027" s="7" t="s">
        <v>360</v>
      </c>
      <c r="C1027" s="7" t="s">
        <v>361</v>
      </c>
      <c r="D1027" s="7" t="s">
        <v>2412</v>
      </c>
      <c r="E1027" s="7" t="s">
        <v>267</v>
      </c>
      <c r="F1027" s="7" t="s">
        <v>2413</v>
      </c>
    </row>
    <row r="1028" customFormat="false" ht="15" hidden="false" customHeight="false" outlineLevel="0" collapsed="false">
      <c r="A1028" s="7" t="s">
        <v>363</v>
      </c>
      <c r="B1028" s="7" t="s">
        <v>360</v>
      </c>
      <c r="C1028" s="7" t="s">
        <v>361</v>
      </c>
      <c r="D1028" s="7" t="s">
        <v>2414</v>
      </c>
      <c r="E1028" s="7" t="s">
        <v>35</v>
      </c>
      <c r="F1028" s="7" t="s">
        <v>2400</v>
      </c>
    </row>
    <row r="1029" customFormat="false" ht="15" hidden="false" customHeight="false" outlineLevel="0" collapsed="false">
      <c r="A1029" s="7" t="s">
        <v>363</v>
      </c>
      <c r="B1029" s="7" t="s">
        <v>360</v>
      </c>
      <c r="C1029" s="7" t="s">
        <v>361</v>
      </c>
      <c r="D1029" s="7" t="s">
        <v>2415</v>
      </c>
      <c r="E1029" s="7" t="s">
        <v>222</v>
      </c>
      <c r="F1029" s="7" t="s">
        <v>2413</v>
      </c>
    </row>
    <row r="1030" customFormat="false" ht="15" hidden="false" customHeight="false" outlineLevel="0" collapsed="false">
      <c r="A1030" s="7" t="s">
        <v>363</v>
      </c>
      <c r="B1030" s="7" t="s">
        <v>360</v>
      </c>
      <c r="C1030" s="7" t="s">
        <v>361</v>
      </c>
      <c r="D1030" s="7" t="s">
        <v>2416</v>
      </c>
      <c r="E1030" s="7" t="s">
        <v>229</v>
      </c>
      <c r="F1030" s="7" t="s">
        <v>2417</v>
      </c>
    </row>
    <row r="1031" customFormat="false" ht="15" hidden="false" customHeight="false" outlineLevel="0" collapsed="false">
      <c r="A1031" s="7" t="s">
        <v>363</v>
      </c>
      <c r="B1031" s="7" t="s">
        <v>360</v>
      </c>
      <c r="C1031" s="7" t="s">
        <v>361</v>
      </c>
      <c r="D1031" s="7" t="s">
        <v>2418</v>
      </c>
      <c r="E1031" s="7" t="s">
        <v>118</v>
      </c>
      <c r="F1031" s="7" t="s">
        <v>2419</v>
      </c>
    </row>
    <row r="1032" customFormat="false" ht="15" hidden="false" customHeight="false" outlineLevel="0" collapsed="false">
      <c r="A1032" s="7" t="s">
        <v>363</v>
      </c>
      <c r="B1032" s="7" t="s">
        <v>360</v>
      </c>
      <c r="C1032" s="7" t="s">
        <v>361</v>
      </c>
      <c r="D1032" s="7" t="s">
        <v>2420</v>
      </c>
      <c r="E1032" s="7" t="s">
        <v>137</v>
      </c>
      <c r="F1032" s="7" t="s">
        <v>2413</v>
      </c>
    </row>
    <row r="1033" customFormat="false" ht="15" hidden="false" customHeight="false" outlineLevel="0" collapsed="false">
      <c r="A1033" s="7" t="s">
        <v>363</v>
      </c>
      <c r="B1033" s="7" t="s">
        <v>360</v>
      </c>
      <c r="C1033" s="7" t="s">
        <v>361</v>
      </c>
      <c r="D1033" s="7" t="s">
        <v>2421</v>
      </c>
      <c r="E1033" s="7" t="s">
        <v>186</v>
      </c>
      <c r="F1033" s="7" t="s">
        <v>2419</v>
      </c>
    </row>
    <row r="1034" customFormat="false" ht="15" hidden="false" customHeight="false" outlineLevel="0" collapsed="false">
      <c r="A1034" s="7" t="s">
        <v>363</v>
      </c>
      <c r="B1034" s="7" t="s">
        <v>360</v>
      </c>
      <c r="C1034" s="7" t="s">
        <v>361</v>
      </c>
      <c r="D1034" s="7" t="s">
        <v>2422</v>
      </c>
      <c r="E1034" s="7" t="s">
        <v>309</v>
      </c>
      <c r="F1034" s="7" t="s">
        <v>2398</v>
      </c>
    </row>
    <row r="1035" customFormat="false" ht="15" hidden="false" customHeight="false" outlineLevel="0" collapsed="false">
      <c r="A1035" s="7" t="s">
        <v>363</v>
      </c>
      <c r="B1035" s="7" t="s">
        <v>360</v>
      </c>
      <c r="C1035" s="7" t="s">
        <v>361</v>
      </c>
      <c r="D1035" s="7" t="s">
        <v>2423</v>
      </c>
      <c r="E1035" s="7" t="s">
        <v>155</v>
      </c>
      <c r="F1035" s="7" t="s">
        <v>2424</v>
      </c>
    </row>
    <row r="1036" customFormat="false" ht="15" hidden="false" customHeight="false" outlineLevel="0" collapsed="false">
      <c r="A1036" s="7" t="s">
        <v>363</v>
      </c>
      <c r="B1036" s="7" t="s">
        <v>360</v>
      </c>
      <c r="C1036" s="7" t="s">
        <v>361</v>
      </c>
      <c r="D1036" s="7" t="s">
        <v>2425</v>
      </c>
      <c r="E1036" s="7" t="s">
        <v>292</v>
      </c>
      <c r="F1036" s="7" t="s">
        <v>2426</v>
      </c>
    </row>
    <row r="1037" customFormat="false" ht="15" hidden="false" customHeight="false" outlineLevel="0" collapsed="false">
      <c r="A1037" s="7" t="s">
        <v>363</v>
      </c>
      <c r="B1037" s="7" t="s">
        <v>360</v>
      </c>
      <c r="C1037" s="7" t="s">
        <v>361</v>
      </c>
      <c r="D1037" s="7" t="s">
        <v>2427</v>
      </c>
      <c r="E1037" s="7" t="s">
        <v>216</v>
      </c>
      <c r="F1037" s="7" t="s">
        <v>2428</v>
      </c>
    </row>
    <row r="1038" customFormat="false" ht="15" hidden="false" customHeight="false" outlineLevel="0" collapsed="false">
      <c r="A1038" s="7" t="s">
        <v>363</v>
      </c>
      <c r="B1038" s="7" t="s">
        <v>360</v>
      </c>
      <c r="C1038" s="7" t="s">
        <v>361</v>
      </c>
      <c r="D1038" s="7" t="s">
        <v>2429</v>
      </c>
      <c r="E1038" s="7" t="s">
        <v>193</v>
      </c>
      <c r="F1038" s="7" t="s">
        <v>2394</v>
      </c>
    </row>
    <row r="1039" customFormat="false" ht="15" hidden="false" customHeight="false" outlineLevel="0" collapsed="false">
      <c r="A1039" s="7" t="s">
        <v>363</v>
      </c>
      <c r="B1039" s="7" t="s">
        <v>360</v>
      </c>
      <c r="C1039" s="7" t="s">
        <v>361</v>
      </c>
      <c r="D1039" s="7" t="s">
        <v>2430</v>
      </c>
      <c r="E1039" s="7" t="s">
        <v>148</v>
      </c>
      <c r="F1039" s="7" t="s">
        <v>2431</v>
      </c>
    </row>
    <row r="1040" customFormat="false" ht="15" hidden="false" customHeight="false" outlineLevel="0" collapsed="false">
      <c r="A1040" s="7" t="s">
        <v>363</v>
      </c>
      <c r="B1040" s="7" t="s">
        <v>360</v>
      </c>
      <c r="C1040" s="7" t="s">
        <v>361</v>
      </c>
      <c r="D1040" s="7" t="s">
        <v>2432</v>
      </c>
      <c r="E1040" s="7" t="s">
        <v>285</v>
      </c>
      <c r="F1040" s="7" t="s">
        <v>2433</v>
      </c>
    </row>
    <row r="1041" customFormat="false" ht="15" hidden="false" customHeight="false" outlineLevel="0" collapsed="false">
      <c r="A1041" s="7" t="s">
        <v>363</v>
      </c>
      <c r="B1041" s="7" t="s">
        <v>360</v>
      </c>
      <c r="C1041" s="7" t="s">
        <v>361</v>
      </c>
      <c r="D1041" s="7" t="s">
        <v>2434</v>
      </c>
      <c r="E1041" s="7" t="s">
        <v>267</v>
      </c>
      <c r="F1041" s="7" t="s">
        <v>2435</v>
      </c>
    </row>
    <row r="1042" customFormat="false" ht="15" hidden="false" customHeight="false" outlineLevel="0" collapsed="false">
      <c r="A1042" s="7" t="s">
        <v>363</v>
      </c>
      <c r="B1042" s="7" t="s">
        <v>360</v>
      </c>
      <c r="C1042" s="7" t="s">
        <v>361</v>
      </c>
      <c r="D1042" s="7" t="s">
        <v>2436</v>
      </c>
      <c r="E1042" s="7" t="s">
        <v>203</v>
      </c>
      <c r="F1042" s="7" t="s">
        <v>2380</v>
      </c>
    </row>
    <row r="1043" customFormat="false" ht="15" hidden="false" customHeight="false" outlineLevel="0" collapsed="false">
      <c r="A1043" s="7" t="s">
        <v>363</v>
      </c>
      <c r="B1043" s="7" t="s">
        <v>360</v>
      </c>
      <c r="C1043" s="7" t="s">
        <v>361</v>
      </c>
      <c r="D1043" s="7" t="s">
        <v>2437</v>
      </c>
      <c r="E1043" s="7" t="s">
        <v>181</v>
      </c>
      <c r="F1043" s="7" t="s">
        <v>2419</v>
      </c>
    </row>
    <row r="1044" customFormat="false" ht="15" hidden="false" customHeight="false" outlineLevel="0" collapsed="false">
      <c r="A1044" s="7" t="s">
        <v>363</v>
      </c>
      <c r="B1044" s="7" t="s">
        <v>360</v>
      </c>
      <c r="C1044" s="7" t="s">
        <v>361</v>
      </c>
      <c r="D1044" s="7" t="s">
        <v>2438</v>
      </c>
      <c r="E1044" s="7" t="s">
        <v>264</v>
      </c>
      <c r="F1044" s="7" t="s">
        <v>2439</v>
      </c>
    </row>
    <row r="1045" customFormat="false" ht="15" hidden="false" customHeight="false" outlineLevel="0" collapsed="false">
      <c r="A1045" s="7" t="s">
        <v>363</v>
      </c>
      <c r="B1045" s="7" t="s">
        <v>360</v>
      </c>
      <c r="C1045" s="7" t="s">
        <v>361</v>
      </c>
      <c r="D1045" s="7" t="s">
        <v>2440</v>
      </c>
      <c r="E1045" s="7" t="s">
        <v>118</v>
      </c>
      <c r="F1045" s="7" t="s">
        <v>2387</v>
      </c>
    </row>
    <row r="1046" customFormat="false" ht="15" hidden="false" customHeight="false" outlineLevel="0" collapsed="false">
      <c r="A1046" s="7" t="s">
        <v>363</v>
      </c>
      <c r="B1046" s="7" t="s">
        <v>360</v>
      </c>
      <c r="C1046" s="7" t="s">
        <v>361</v>
      </c>
      <c r="D1046" s="7" t="s">
        <v>2441</v>
      </c>
      <c r="E1046" s="7" t="s">
        <v>43</v>
      </c>
      <c r="F1046" s="7" t="s">
        <v>2400</v>
      </c>
    </row>
    <row r="1047" customFormat="false" ht="15" hidden="false" customHeight="false" outlineLevel="0" collapsed="false">
      <c r="A1047" s="7" t="s">
        <v>363</v>
      </c>
      <c r="B1047" s="7" t="s">
        <v>360</v>
      </c>
      <c r="C1047" s="7" t="s">
        <v>361</v>
      </c>
      <c r="D1047" s="7" t="s">
        <v>2442</v>
      </c>
      <c r="E1047" s="7" t="s">
        <v>115</v>
      </c>
      <c r="F1047" s="7" t="s">
        <v>2417</v>
      </c>
    </row>
    <row r="1048" customFormat="false" ht="15" hidden="false" customHeight="false" outlineLevel="0" collapsed="false">
      <c r="A1048" s="7" t="s">
        <v>363</v>
      </c>
      <c r="B1048" s="7" t="s">
        <v>360</v>
      </c>
      <c r="C1048" s="7" t="s">
        <v>361</v>
      </c>
      <c r="D1048" s="7" t="s">
        <v>2443</v>
      </c>
      <c r="E1048" s="7" t="s">
        <v>209</v>
      </c>
      <c r="F1048" s="7" t="s">
        <v>2382</v>
      </c>
    </row>
    <row r="1049" customFormat="false" ht="15" hidden="false" customHeight="false" outlineLevel="0" collapsed="false">
      <c r="A1049" s="7" t="s">
        <v>363</v>
      </c>
      <c r="B1049" s="7" t="s">
        <v>360</v>
      </c>
      <c r="C1049" s="7" t="s">
        <v>361</v>
      </c>
      <c r="D1049" s="7" t="s">
        <v>2444</v>
      </c>
      <c r="E1049" s="7" t="s">
        <v>167</v>
      </c>
      <c r="F1049" s="7" t="s">
        <v>2445</v>
      </c>
    </row>
    <row r="1050" customFormat="false" ht="15" hidden="false" customHeight="false" outlineLevel="0" collapsed="false">
      <c r="A1050" s="7" t="s">
        <v>363</v>
      </c>
      <c r="B1050" s="7" t="s">
        <v>360</v>
      </c>
      <c r="C1050" s="7" t="s">
        <v>361</v>
      </c>
      <c r="D1050" s="7" t="s">
        <v>2446</v>
      </c>
      <c r="E1050" s="7" t="s">
        <v>38</v>
      </c>
      <c r="F1050" s="7" t="s">
        <v>2402</v>
      </c>
    </row>
    <row r="1051" customFormat="false" ht="15" hidden="false" customHeight="false" outlineLevel="0" collapsed="false">
      <c r="A1051" s="7" t="s">
        <v>363</v>
      </c>
      <c r="B1051" s="7" t="s">
        <v>360</v>
      </c>
      <c r="C1051" s="7" t="s">
        <v>361</v>
      </c>
      <c r="D1051" s="7" t="s">
        <v>2447</v>
      </c>
      <c r="E1051" s="7" t="s">
        <v>57</v>
      </c>
      <c r="F1051" s="7" t="s">
        <v>2417</v>
      </c>
    </row>
    <row r="1052" customFormat="false" ht="15" hidden="false" customHeight="false" outlineLevel="0" collapsed="false">
      <c r="A1052" s="7" t="s">
        <v>363</v>
      </c>
      <c r="B1052" s="7" t="s">
        <v>360</v>
      </c>
      <c r="C1052" s="7" t="s">
        <v>361</v>
      </c>
      <c r="D1052" s="7" t="s">
        <v>2448</v>
      </c>
      <c r="E1052" s="7" t="s">
        <v>267</v>
      </c>
      <c r="F1052" s="7" t="s">
        <v>2439</v>
      </c>
    </row>
    <row r="1053" customFormat="false" ht="15" hidden="false" customHeight="false" outlineLevel="0" collapsed="false">
      <c r="A1053" s="7" t="s">
        <v>363</v>
      </c>
      <c r="B1053" s="7" t="s">
        <v>360</v>
      </c>
      <c r="C1053" s="7" t="s">
        <v>361</v>
      </c>
      <c r="D1053" s="7" t="s">
        <v>2449</v>
      </c>
      <c r="E1053" s="7" t="s">
        <v>100</v>
      </c>
      <c r="F1053" s="7" t="s">
        <v>2450</v>
      </c>
    </row>
    <row r="1054" customFormat="false" ht="15" hidden="false" customHeight="false" outlineLevel="0" collapsed="false">
      <c r="A1054" s="7" t="s">
        <v>363</v>
      </c>
      <c r="B1054" s="7" t="s">
        <v>360</v>
      </c>
      <c r="C1054" s="7" t="s">
        <v>361</v>
      </c>
      <c r="D1054" s="7" t="s">
        <v>2451</v>
      </c>
      <c r="E1054" s="7" t="s">
        <v>350</v>
      </c>
      <c r="F1054" s="7" t="s">
        <v>2450</v>
      </c>
    </row>
    <row r="1055" customFormat="false" ht="15" hidden="false" customHeight="false" outlineLevel="0" collapsed="false">
      <c r="A1055" s="7" t="s">
        <v>363</v>
      </c>
      <c r="B1055" s="7" t="s">
        <v>360</v>
      </c>
      <c r="C1055" s="7" t="s">
        <v>361</v>
      </c>
      <c r="D1055" s="7" t="s">
        <v>2452</v>
      </c>
      <c r="E1055" s="7" t="s">
        <v>291</v>
      </c>
      <c r="F1055" s="7" t="s">
        <v>2375</v>
      </c>
    </row>
    <row r="1056" customFormat="false" ht="15" hidden="false" customHeight="false" outlineLevel="0" collapsed="false">
      <c r="A1056" s="7" t="s">
        <v>363</v>
      </c>
      <c r="B1056" s="7" t="s">
        <v>360</v>
      </c>
      <c r="C1056" s="7" t="s">
        <v>361</v>
      </c>
      <c r="D1056" s="7" t="s">
        <v>2453</v>
      </c>
      <c r="E1056" s="7" t="s">
        <v>65</v>
      </c>
      <c r="F1056" s="7" t="s">
        <v>2454</v>
      </c>
    </row>
    <row r="1057" customFormat="false" ht="15" hidden="false" customHeight="false" outlineLevel="0" collapsed="false">
      <c r="A1057" s="7" t="s">
        <v>363</v>
      </c>
      <c r="B1057" s="7" t="s">
        <v>360</v>
      </c>
      <c r="C1057" s="7" t="s">
        <v>361</v>
      </c>
      <c r="D1057" s="7" t="s">
        <v>2455</v>
      </c>
      <c r="E1057" s="7" t="s">
        <v>108</v>
      </c>
      <c r="F1057" s="7" t="s">
        <v>2445</v>
      </c>
    </row>
    <row r="1058" customFormat="false" ht="15" hidden="false" customHeight="false" outlineLevel="0" collapsed="false">
      <c r="A1058" s="7" t="s">
        <v>363</v>
      </c>
      <c r="B1058" s="7" t="s">
        <v>360</v>
      </c>
      <c r="C1058" s="7" t="s">
        <v>361</v>
      </c>
      <c r="D1058" s="7" t="s">
        <v>2456</v>
      </c>
      <c r="E1058" s="7" t="s">
        <v>35</v>
      </c>
      <c r="F1058" s="7" t="s">
        <v>2375</v>
      </c>
    </row>
    <row r="1059" customFormat="false" ht="15" hidden="false" customHeight="false" outlineLevel="0" collapsed="false">
      <c r="A1059" s="7" t="s">
        <v>363</v>
      </c>
      <c r="B1059" s="7" t="s">
        <v>360</v>
      </c>
      <c r="C1059" s="7" t="s">
        <v>361</v>
      </c>
      <c r="D1059" s="7" t="s">
        <v>2457</v>
      </c>
      <c r="E1059" s="7" t="s">
        <v>169</v>
      </c>
      <c r="F1059" s="7" t="s">
        <v>2398</v>
      </c>
    </row>
    <row r="1060" customFormat="false" ht="15" hidden="false" customHeight="false" outlineLevel="0" collapsed="false">
      <c r="A1060" s="7" t="s">
        <v>363</v>
      </c>
      <c r="B1060" s="7" t="s">
        <v>360</v>
      </c>
      <c r="C1060" s="7" t="s">
        <v>361</v>
      </c>
      <c r="D1060" s="7" t="s">
        <v>2458</v>
      </c>
      <c r="E1060" s="7" t="s">
        <v>142</v>
      </c>
      <c r="F1060" s="7" t="s">
        <v>2459</v>
      </c>
    </row>
    <row r="1061" customFormat="false" ht="15" hidden="false" customHeight="false" outlineLevel="0" collapsed="false">
      <c r="A1061" s="7" t="s">
        <v>363</v>
      </c>
      <c r="B1061" s="7" t="s">
        <v>360</v>
      </c>
      <c r="C1061" s="7" t="s">
        <v>361</v>
      </c>
      <c r="D1061" s="7" t="s">
        <v>2460</v>
      </c>
      <c r="E1061" s="7" t="s">
        <v>194</v>
      </c>
      <c r="F1061" s="7" t="s">
        <v>2445</v>
      </c>
    </row>
    <row r="1062" customFormat="false" ht="15" hidden="false" customHeight="false" outlineLevel="0" collapsed="false">
      <c r="A1062" s="7" t="s">
        <v>363</v>
      </c>
      <c r="B1062" s="7" t="s">
        <v>360</v>
      </c>
      <c r="C1062" s="7" t="s">
        <v>361</v>
      </c>
      <c r="D1062" s="7" t="s">
        <v>2461</v>
      </c>
      <c r="E1062" s="7" t="s">
        <v>270</v>
      </c>
      <c r="F1062" s="7" t="s">
        <v>2462</v>
      </c>
    </row>
    <row r="1063" customFormat="false" ht="15" hidden="false" customHeight="false" outlineLevel="0" collapsed="false">
      <c r="A1063" s="7" t="s">
        <v>363</v>
      </c>
      <c r="B1063" s="7" t="s">
        <v>360</v>
      </c>
      <c r="C1063" s="7" t="s">
        <v>361</v>
      </c>
      <c r="D1063" s="7" t="s">
        <v>2463</v>
      </c>
      <c r="E1063" s="7" t="s">
        <v>209</v>
      </c>
      <c r="F1063" s="7" t="s">
        <v>2398</v>
      </c>
    </row>
    <row r="1064" customFormat="false" ht="15" hidden="false" customHeight="false" outlineLevel="0" collapsed="false">
      <c r="A1064" s="7" t="s">
        <v>363</v>
      </c>
      <c r="B1064" s="7" t="s">
        <v>360</v>
      </c>
      <c r="C1064" s="7" t="s">
        <v>361</v>
      </c>
      <c r="D1064" s="7" t="s">
        <v>2464</v>
      </c>
      <c r="E1064" s="7" t="s">
        <v>210</v>
      </c>
      <c r="F1064" s="7" t="s">
        <v>2439</v>
      </c>
    </row>
    <row r="1065" customFormat="false" ht="15" hidden="false" customHeight="false" outlineLevel="0" collapsed="false">
      <c r="A1065" s="7" t="s">
        <v>363</v>
      </c>
      <c r="B1065" s="7" t="s">
        <v>360</v>
      </c>
      <c r="C1065" s="7" t="s">
        <v>361</v>
      </c>
      <c r="D1065" s="7" t="s">
        <v>2465</v>
      </c>
      <c r="E1065" s="7" t="s">
        <v>59</v>
      </c>
      <c r="F1065" s="7" t="s">
        <v>2431</v>
      </c>
    </row>
    <row r="1066" customFormat="false" ht="15" hidden="false" customHeight="false" outlineLevel="0" collapsed="false">
      <c r="A1066" s="7" t="s">
        <v>363</v>
      </c>
      <c r="B1066" s="7" t="s">
        <v>360</v>
      </c>
      <c r="C1066" s="7" t="s">
        <v>361</v>
      </c>
      <c r="D1066" s="7" t="s">
        <v>2466</v>
      </c>
      <c r="E1066" s="7" t="s">
        <v>197</v>
      </c>
      <c r="F1066" s="7" t="s">
        <v>2387</v>
      </c>
    </row>
    <row r="1067" customFormat="false" ht="15" hidden="false" customHeight="false" outlineLevel="0" collapsed="false">
      <c r="A1067" s="7" t="s">
        <v>363</v>
      </c>
      <c r="B1067" s="7" t="s">
        <v>360</v>
      </c>
      <c r="C1067" s="7" t="s">
        <v>361</v>
      </c>
      <c r="D1067" s="7" t="s">
        <v>2467</v>
      </c>
      <c r="E1067" s="7" t="s">
        <v>175</v>
      </c>
      <c r="F1067" s="7" t="s">
        <v>2426</v>
      </c>
    </row>
    <row r="1068" customFormat="false" ht="15" hidden="false" customHeight="false" outlineLevel="0" collapsed="false">
      <c r="A1068" s="7" t="s">
        <v>363</v>
      </c>
      <c r="B1068" s="7" t="s">
        <v>360</v>
      </c>
      <c r="C1068" s="7" t="s">
        <v>361</v>
      </c>
      <c r="D1068" s="7" t="s">
        <v>2468</v>
      </c>
      <c r="E1068" s="7" t="s">
        <v>240</v>
      </c>
      <c r="F1068" s="7" t="s">
        <v>2398</v>
      </c>
    </row>
    <row r="1069" customFormat="false" ht="15" hidden="false" customHeight="false" outlineLevel="0" collapsed="false">
      <c r="A1069" s="7" t="s">
        <v>363</v>
      </c>
      <c r="B1069" s="7" t="s">
        <v>360</v>
      </c>
      <c r="C1069" s="7" t="s">
        <v>361</v>
      </c>
      <c r="D1069" s="7" t="s">
        <v>2469</v>
      </c>
      <c r="E1069" s="7" t="s">
        <v>73</v>
      </c>
      <c r="F1069" s="7" t="s">
        <v>2385</v>
      </c>
    </row>
    <row r="1070" customFormat="false" ht="15" hidden="false" customHeight="false" outlineLevel="0" collapsed="false">
      <c r="A1070" s="7" t="s">
        <v>363</v>
      </c>
      <c r="B1070" s="7" t="s">
        <v>360</v>
      </c>
      <c r="C1070" s="7" t="s">
        <v>361</v>
      </c>
      <c r="D1070" s="7" t="s">
        <v>2470</v>
      </c>
      <c r="E1070" s="7" t="s">
        <v>285</v>
      </c>
      <c r="F1070" s="7" t="s">
        <v>2385</v>
      </c>
    </row>
    <row r="1071" customFormat="false" ht="15" hidden="false" customHeight="false" outlineLevel="0" collapsed="false">
      <c r="A1071" s="7" t="s">
        <v>363</v>
      </c>
      <c r="B1071" s="7" t="s">
        <v>360</v>
      </c>
      <c r="C1071" s="7" t="s">
        <v>361</v>
      </c>
      <c r="D1071" s="7" t="s">
        <v>2471</v>
      </c>
      <c r="E1071" s="7" t="s">
        <v>102</v>
      </c>
      <c r="F1071" s="7" t="s">
        <v>2472</v>
      </c>
    </row>
    <row r="1072" customFormat="false" ht="15" hidden="false" customHeight="false" outlineLevel="0" collapsed="false">
      <c r="A1072" s="7" t="s">
        <v>363</v>
      </c>
      <c r="B1072" s="7" t="s">
        <v>360</v>
      </c>
      <c r="C1072" s="7" t="s">
        <v>361</v>
      </c>
      <c r="D1072" s="7" t="s">
        <v>2473</v>
      </c>
      <c r="E1072" s="7" t="s">
        <v>224</v>
      </c>
      <c r="F1072" s="7" t="s">
        <v>2389</v>
      </c>
    </row>
    <row r="1073" customFormat="false" ht="15" hidden="false" customHeight="false" outlineLevel="0" collapsed="false">
      <c r="A1073" s="7" t="s">
        <v>364</v>
      </c>
      <c r="B1073" s="7" t="s">
        <v>360</v>
      </c>
      <c r="C1073" s="7" t="s">
        <v>361</v>
      </c>
      <c r="D1073" s="7" t="s">
        <v>2474</v>
      </c>
      <c r="E1073" s="7" t="s">
        <v>330</v>
      </c>
      <c r="F1073" s="7" t="s">
        <v>2475</v>
      </c>
    </row>
    <row r="1074" customFormat="false" ht="15" hidden="false" customHeight="false" outlineLevel="0" collapsed="false">
      <c r="A1074" s="7" t="s">
        <v>364</v>
      </c>
      <c r="B1074" s="7" t="s">
        <v>360</v>
      </c>
      <c r="C1074" s="7" t="s">
        <v>361</v>
      </c>
      <c r="D1074" s="7" t="s">
        <v>2476</v>
      </c>
      <c r="E1074" s="7" t="s">
        <v>279</v>
      </c>
      <c r="F1074" s="7" t="s">
        <v>2475</v>
      </c>
    </row>
    <row r="1075" customFormat="false" ht="15" hidden="false" customHeight="false" outlineLevel="0" collapsed="false">
      <c r="A1075" s="7" t="s">
        <v>364</v>
      </c>
      <c r="B1075" s="7" t="s">
        <v>360</v>
      </c>
      <c r="C1075" s="7" t="s">
        <v>361</v>
      </c>
      <c r="D1075" s="7" t="s">
        <v>2477</v>
      </c>
      <c r="E1075" s="7" t="s">
        <v>330</v>
      </c>
      <c r="F1075" s="7" t="s">
        <v>2478</v>
      </c>
    </row>
    <row r="1076" customFormat="false" ht="15" hidden="false" customHeight="false" outlineLevel="0" collapsed="false">
      <c r="A1076" s="7" t="s">
        <v>364</v>
      </c>
      <c r="B1076" s="7" t="s">
        <v>360</v>
      </c>
      <c r="C1076" s="7" t="s">
        <v>361</v>
      </c>
      <c r="D1076" s="7" t="s">
        <v>2479</v>
      </c>
      <c r="E1076" s="7" t="s">
        <v>250</v>
      </c>
      <c r="F1076" s="7" t="s">
        <v>2480</v>
      </c>
    </row>
    <row r="1077" customFormat="false" ht="15" hidden="false" customHeight="false" outlineLevel="0" collapsed="false">
      <c r="A1077" s="7" t="s">
        <v>364</v>
      </c>
      <c r="B1077" s="7" t="s">
        <v>360</v>
      </c>
      <c r="C1077" s="7" t="s">
        <v>361</v>
      </c>
      <c r="D1077" s="7" t="s">
        <v>2481</v>
      </c>
      <c r="E1077" s="7" t="s">
        <v>153</v>
      </c>
      <c r="F1077" s="7" t="s">
        <v>2482</v>
      </c>
    </row>
    <row r="1078" customFormat="false" ht="15" hidden="false" customHeight="false" outlineLevel="0" collapsed="false">
      <c r="A1078" s="7" t="s">
        <v>364</v>
      </c>
      <c r="B1078" s="7" t="s">
        <v>360</v>
      </c>
      <c r="C1078" s="7" t="s">
        <v>361</v>
      </c>
      <c r="D1078" s="7" t="s">
        <v>2483</v>
      </c>
      <c r="E1078" s="7" t="s">
        <v>252</v>
      </c>
      <c r="F1078" s="7" t="s">
        <v>2484</v>
      </c>
    </row>
    <row r="1079" customFormat="false" ht="15" hidden="false" customHeight="false" outlineLevel="0" collapsed="false">
      <c r="A1079" s="7" t="s">
        <v>364</v>
      </c>
      <c r="B1079" s="7" t="s">
        <v>360</v>
      </c>
      <c r="C1079" s="7" t="s">
        <v>361</v>
      </c>
      <c r="D1079" s="7" t="s">
        <v>2485</v>
      </c>
      <c r="E1079" s="7" t="s">
        <v>118</v>
      </c>
      <c r="F1079" s="7" t="s">
        <v>2475</v>
      </c>
    </row>
    <row r="1080" customFormat="false" ht="15" hidden="false" customHeight="false" outlineLevel="0" collapsed="false">
      <c r="A1080" s="7" t="s">
        <v>364</v>
      </c>
      <c r="B1080" s="7" t="s">
        <v>360</v>
      </c>
      <c r="C1080" s="7" t="s">
        <v>361</v>
      </c>
      <c r="D1080" s="7" t="s">
        <v>2486</v>
      </c>
      <c r="E1080" s="7" t="s">
        <v>79</v>
      </c>
      <c r="F1080" s="7" t="s">
        <v>2487</v>
      </c>
    </row>
    <row r="1081" customFormat="false" ht="15" hidden="false" customHeight="false" outlineLevel="0" collapsed="false">
      <c r="A1081" s="7" t="s">
        <v>364</v>
      </c>
      <c r="B1081" s="7" t="s">
        <v>360</v>
      </c>
      <c r="C1081" s="7" t="s">
        <v>361</v>
      </c>
      <c r="D1081" s="7" t="s">
        <v>2488</v>
      </c>
      <c r="E1081" s="7" t="s">
        <v>330</v>
      </c>
      <c r="F1081" s="7" t="s">
        <v>2475</v>
      </c>
    </row>
    <row r="1082" customFormat="false" ht="15" hidden="false" customHeight="false" outlineLevel="0" collapsed="false">
      <c r="A1082" s="7" t="s">
        <v>364</v>
      </c>
      <c r="B1082" s="7" t="s">
        <v>360</v>
      </c>
      <c r="C1082" s="7" t="s">
        <v>361</v>
      </c>
      <c r="D1082" s="7" t="s">
        <v>2489</v>
      </c>
      <c r="E1082" s="7" t="s">
        <v>307</v>
      </c>
      <c r="F1082" s="7" t="s">
        <v>2490</v>
      </c>
    </row>
    <row r="1083" customFormat="false" ht="15" hidden="false" customHeight="false" outlineLevel="0" collapsed="false">
      <c r="A1083" s="7" t="s">
        <v>364</v>
      </c>
      <c r="B1083" s="7" t="s">
        <v>360</v>
      </c>
      <c r="C1083" s="7" t="s">
        <v>361</v>
      </c>
      <c r="D1083" s="7" t="s">
        <v>2491</v>
      </c>
      <c r="E1083" s="7" t="s">
        <v>142</v>
      </c>
      <c r="F1083" s="7" t="s">
        <v>2492</v>
      </c>
    </row>
    <row r="1084" customFormat="false" ht="15" hidden="false" customHeight="false" outlineLevel="0" collapsed="false">
      <c r="A1084" s="7" t="s">
        <v>364</v>
      </c>
      <c r="B1084" s="7" t="s">
        <v>360</v>
      </c>
      <c r="C1084" s="7" t="s">
        <v>361</v>
      </c>
      <c r="D1084" s="7" t="s">
        <v>2493</v>
      </c>
      <c r="E1084" s="7" t="s">
        <v>258</v>
      </c>
      <c r="F1084" s="7" t="s">
        <v>2494</v>
      </c>
    </row>
    <row r="1085" customFormat="false" ht="15" hidden="false" customHeight="false" outlineLevel="0" collapsed="false">
      <c r="A1085" s="7" t="s">
        <v>364</v>
      </c>
      <c r="B1085" s="7" t="s">
        <v>360</v>
      </c>
      <c r="C1085" s="7" t="s">
        <v>361</v>
      </c>
      <c r="D1085" s="7" t="s">
        <v>2495</v>
      </c>
      <c r="E1085" s="7" t="s">
        <v>45</v>
      </c>
      <c r="F1085" s="7" t="s">
        <v>2496</v>
      </c>
    </row>
    <row r="1086" customFormat="false" ht="15" hidden="false" customHeight="false" outlineLevel="0" collapsed="false">
      <c r="A1086" s="7" t="s">
        <v>364</v>
      </c>
      <c r="B1086" s="7" t="s">
        <v>360</v>
      </c>
      <c r="C1086" s="7" t="s">
        <v>361</v>
      </c>
      <c r="D1086" s="7" t="s">
        <v>2497</v>
      </c>
      <c r="E1086" s="7" t="s">
        <v>59</v>
      </c>
      <c r="F1086" s="7" t="s">
        <v>2475</v>
      </c>
    </row>
    <row r="1087" customFormat="false" ht="15" hidden="false" customHeight="false" outlineLevel="0" collapsed="false">
      <c r="A1087" s="7" t="s">
        <v>364</v>
      </c>
      <c r="B1087" s="7" t="s">
        <v>360</v>
      </c>
      <c r="C1087" s="7" t="s">
        <v>361</v>
      </c>
      <c r="D1087" s="7" t="s">
        <v>2498</v>
      </c>
      <c r="E1087" s="7" t="s">
        <v>229</v>
      </c>
      <c r="F1087" s="7" t="s">
        <v>2499</v>
      </c>
    </row>
    <row r="1088" customFormat="false" ht="15" hidden="false" customHeight="false" outlineLevel="0" collapsed="false">
      <c r="A1088" s="7" t="s">
        <v>364</v>
      </c>
      <c r="B1088" s="7" t="s">
        <v>360</v>
      </c>
      <c r="C1088" s="7" t="s">
        <v>361</v>
      </c>
      <c r="D1088" s="7" t="s">
        <v>2500</v>
      </c>
      <c r="E1088" s="7" t="s">
        <v>314</v>
      </c>
      <c r="F1088" s="7" t="s">
        <v>2501</v>
      </c>
    </row>
    <row r="1089" customFormat="false" ht="15" hidden="false" customHeight="false" outlineLevel="0" collapsed="false">
      <c r="A1089" s="7" t="s">
        <v>364</v>
      </c>
      <c r="B1089" s="7" t="s">
        <v>360</v>
      </c>
      <c r="C1089" s="7" t="s">
        <v>361</v>
      </c>
      <c r="D1089" s="7" t="s">
        <v>2502</v>
      </c>
      <c r="E1089" s="7" t="s">
        <v>92</v>
      </c>
      <c r="F1089" s="7" t="s">
        <v>2475</v>
      </c>
    </row>
    <row r="1090" customFormat="false" ht="15" hidden="false" customHeight="false" outlineLevel="0" collapsed="false">
      <c r="A1090" s="7" t="s">
        <v>364</v>
      </c>
      <c r="B1090" s="7" t="s">
        <v>360</v>
      </c>
      <c r="C1090" s="7" t="s">
        <v>361</v>
      </c>
      <c r="D1090" s="7" t="s">
        <v>2503</v>
      </c>
      <c r="E1090" s="7" t="s">
        <v>194</v>
      </c>
      <c r="F1090" s="7" t="s">
        <v>2475</v>
      </c>
    </row>
    <row r="1091" customFormat="false" ht="15" hidden="false" customHeight="false" outlineLevel="0" collapsed="false">
      <c r="A1091" s="7" t="s">
        <v>364</v>
      </c>
      <c r="B1091" s="7" t="s">
        <v>360</v>
      </c>
      <c r="C1091" s="7" t="s">
        <v>361</v>
      </c>
      <c r="D1091" s="7" t="s">
        <v>2504</v>
      </c>
      <c r="E1091" s="7" t="s">
        <v>281</v>
      </c>
      <c r="F1091" s="7" t="s">
        <v>2475</v>
      </c>
    </row>
    <row r="1092" customFormat="false" ht="15" hidden="false" customHeight="false" outlineLevel="0" collapsed="false">
      <c r="A1092" s="7" t="s">
        <v>364</v>
      </c>
      <c r="B1092" s="7" t="s">
        <v>360</v>
      </c>
      <c r="C1092" s="7" t="s">
        <v>361</v>
      </c>
      <c r="D1092" s="7" t="s">
        <v>2505</v>
      </c>
      <c r="E1092" s="7" t="s">
        <v>190</v>
      </c>
      <c r="F1092" s="7" t="s">
        <v>2506</v>
      </c>
    </row>
    <row r="1093" customFormat="false" ht="15" hidden="false" customHeight="false" outlineLevel="0" collapsed="false">
      <c r="A1093" s="7" t="s">
        <v>364</v>
      </c>
      <c r="B1093" s="7" t="s">
        <v>360</v>
      </c>
      <c r="C1093" s="7" t="s">
        <v>361</v>
      </c>
      <c r="D1093" s="7" t="s">
        <v>2507</v>
      </c>
      <c r="E1093" s="7" t="s">
        <v>269</v>
      </c>
      <c r="F1093" s="7" t="s">
        <v>2475</v>
      </c>
    </row>
    <row r="1094" customFormat="false" ht="15" hidden="false" customHeight="false" outlineLevel="0" collapsed="false">
      <c r="A1094" s="7" t="s">
        <v>364</v>
      </c>
      <c r="B1094" s="7" t="s">
        <v>360</v>
      </c>
      <c r="C1094" s="7" t="s">
        <v>361</v>
      </c>
      <c r="D1094" s="7" t="s">
        <v>2508</v>
      </c>
      <c r="E1094" s="7" t="s">
        <v>148</v>
      </c>
      <c r="F1094" s="7" t="s">
        <v>2509</v>
      </c>
    </row>
    <row r="1095" customFormat="false" ht="15" hidden="false" customHeight="false" outlineLevel="0" collapsed="false">
      <c r="A1095" s="7" t="s">
        <v>364</v>
      </c>
      <c r="B1095" s="7" t="s">
        <v>360</v>
      </c>
      <c r="C1095" s="7" t="s">
        <v>361</v>
      </c>
      <c r="D1095" s="7" t="s">
        <v>2510</v>
      </c>
      <c r="E1095" s="7" t="s">
        <v>151</v>
      </c>
      <c r="F1095" s="7" t="s">
        <v>2511</v>
      </c>
    </row>
    <row r="1096" customFormat="false" ht="15" hidden="false" customHeight="false" outlineLevel="0" collapsed="false">
      <c r="A1096" s="7" t="s">
        <v>364</v>
      </c>
      <c r="B1096" s="7" t="s">
        <v>360</v>
      </c>
      <c r="C1096" s="7" t="s">
        <v>361</v>
      </c>
      <c r="D1096" s="7" t="s">
        <v>2512</v>
      </c>
      <c r="E1096" s="7" t="s">
        <v>222</v>
      </c>
      <c r="F1096" s="7" t="s">
        <v>2475</v>
      </c>
    </row>
    <row r="1097" customFormat="false" ht="15" hidden="false" customHeight="false" outlineLevel="0" collapsed="false">
      <c r="A1097" s="7" t="s">
        <v>364</v>
      </c>
      <c r="B1097" s="7" t="s">
        <v>360</v>
      </c>
      <c r="C1097" s="7" t="s">
        <v>361</v>
      </c>
      <c r="D1097" s="7" t="s">
        <v>2513</v>
      </c>
      <c r="E1097" s="7" t="s">
        <v>197</v>
      </c>
      <c r="F1097" s="7" t="s">
        <v>2475</v>
      </c>
    </row>
    <row r="1098" customFormat="false" ht="15" hidden="false" customHeight="false" outlineLevel="0" collapsed="false">
      <c r="A1098" s="7" t="s">
        <v>364</v>
      </c>
      <c r="B1098" s="7" t="s">
        <v>360</v>
      </c>
      <c r="C1098" s="7" t="s">
        <v>361</v>
      </c>
      <c r="D1098" s="7" t="s">
        <v>2514</v>
      </c>
      <c r="E1098" s="7" t="s">
        <v>192</v>
      </c>
      <c r="F1098" s="7" t="s">
        <v>2515</v>
      </c>
    </row>
    <row r="1099" customFormat="false" ht="15" hidden="false" customHeight="false" outlineLevel="0" collapsed="false">
      <c r="A1099" s="7" t="s">
        <v>364</v>
      </c>
      <c r="B1099" s="7" t="s">
        <v>360</v>
      </c>
      <c r="C1099" s="7" t="s">
        <v>361</v>
      </c>
      <c r="D1099" s="7" t="s">
        <v>2516</v>
      </c>
      <c r="E1099" s="7" t="s">
        <v>128</v>
      </c>
      <c r="F1099" s="7" t="s">
        <v>2517</v>
      </c>
    </row>
    <row r="1100" customFormat="false" ht="15" hidden="false" customHeight="false" outlineLevel="0" collapsed="false">
      <c r="A1100" s="7" t="s">
        <v>364</v>
      </c>
      <c r="B1100" s="7" t="s">
        <v>360</v>
      </c>
      <c r="C1100" s="7" t="s">
        <v>361</v>
      </c>
      <c r="D1100" s="7" t="s">
        <v>2518</v>
      </c>
      <c r="E1100" s="7" t="s">
        <v>81</v>
      </c>
      <c r="F1100" s="7" t="s">
        <v>2519</v>
      </c>
    </row>
    <row r="1101" customFormat="false" ht="15" hidden="false" customHeight="false" outlineLevel="0" collapsed="false">
      <c r="A1101" s="7" t="s">
        <v>364</v>
      </c>
      <c r="B1101" s="7" t="s">
        <v>360</v>
      </c>
      <c r="C1101" s="7" t="s">
        <v>361</v>
      </c>
      <c r="D1101" s="7" t="s">
        <v>2520</v>
      </c>
      <c r="E1101" s="7" t="s">
        <v>340</v>
      </c>
      <c r="F1101" s="7" t="s">
        <v>2521</v>
      </c>
    </row>
    <row r="1102" customFormat="false" ht="15" hidden="false" customHeight="false" outlineLevel="0" collapsed="false">
      <c r="A1102" s="7" t="s">
        <v>364</v>
      </c>
      <c r="B1102" s="7" t="s">
        <v>360</v>
      </c>
      <c r="C1102" s="7" t="s">
        <v>361</v>
      </c>
      <c r="D1102" s="7" t="s">
        <v>2522</v>
      </c>
      <c r="E1102" s="7" t="s">
        <v>116</v>
      </c>
      <c r="F1102" s="7" t="s">
        <v>2475</v>
      </c>
    </row>
    <row r="1103" customFormat="false" ht="15" hidden="false" customHeight="false" outlineLevel="0" collapsed="false">
      <c r="A1103" s="7" t="s">
        <v>364</v>
      </c>
      <c r="B1103" s="7" t="s">
        <v>360</v>
      </c>
      <c r="C1103" s="7" t="s">
        <v>361</v>
      </c>
      <c r="D1103" s="7" t="s">
        <v>2523</v>
      </c>
      <c r="E1103" s="7" t="s">
        <v>192</v>
      </c>
      <c r="F1103" s="7" t="s">
        <v>2524</v>
      </c>
    </row>
    <row r="1104" customFormat="false" ht="15" hidden="false" customHeight="false" outlineLevel="0" collapsed="false">
      <c r="A1104" s="7" t="s">
        <v>364</v>
      </c>
      <c r="B1104" s="7" t="s">
        <v>360</v>
      </c>
      <c r="C1104" s="7" t="s">
        <v>361</v>
      </c>
      <c r="D1104" s="7" t="s">
        <v>2525</v>
      </c>
      <c r="E1104" s="7" t="s">
        <v>38</v>
      </c>
      <c r="F1104" s="7" t="s">
        <v>2475</v>
      </c>
    </row>
    <row r="1105" customFormat="false" ht="15" hidden="false" customHeight="false" outlineLevel="0" collapsed="false">
      <c r="A1105" s="7" t="s">
        <v>364</v>
      </c>
      <c r="B1105" s="7" t="s">
        <v>360</v>
      </c>
      <c r="C1105" s="7" t="s">
        <v>361</v>
      </c>
      <c r="D1105" s="7" t="s">
        <v>2526</v>
      </c>
      <c r="E1105" s="7" t="s">
        <v>267</v>
      </c>
      <c r="F1105" s="7" t="s">
        <v>2475</v>
      </c>
    </row>
    <row r="1106" customFormat="false" ht="15" hidden="false" customHeight="false" outlineLevel="0" collapsed="false">
      <c r="A1106" s="7" t="s">
        <v>364</v>
      </c>
      <c r="B1106" s="7" t="s">
        <v>360</v>
      </c>
      <c r="C1106" s="7" t="s">
        <v>361</v>
      </c>
      <c r="D1106" s="7" t="s">
        <v>2527</v>
      </c>
      <c r="E1106" s="7" t="s">
        <v>196</v>
      </c>
      <c r="F1106" s="7" t="s">
        <v>2528</v>
      </c>
    </row>
    <row r="1107" customFormat="false" ht="15" hidden="false" customHeight="false" outlineLevel="0" collapsed="false">
      <c r="A1107" s="7" t="s">
        <v>364</v>
      </c>
      <c r="B1107" s="7" t="s">
        <v>360</v>
      </c>
      <c r="C1107" s="7" t="s">
        <v>361</v>
      </c>
      <c r="D1107" s="7" t="s">
        <v>2529</v>
      </c>
      <c r="E1107" s="7" t="s">
        <v>186</v>
      </c>
      <c r="F1107" s="7" t="s">
        <v>2530</v>
      </c>
    </row>
    <row r="1108" customFormat="false" ht="15" hidden="false" customHeight="false" outlineLevel="0" collapsed="false">
      <c r="A1108" s="7" t="s">
        <v>364</v>
      </c>
      <c r="B1108" s="7" t="s">
        <v>360</v>
      </c>
      <c r="C1108" s="7" t="s">
        <v>361</v>
      </c>
      <c r="D1108" s="7" t="s">
        <v>2531</v>
      </c>
      <c r="E1108" s="7" t="s">
        <v>45</v>
      </c>
      <c r="F1108" s="7" t="s">
        <v>2475</v>
      </c>
    </row>
    <row r="1109" customFormat="false" ht="15" hidden="false" customHeight="false" outlineLevel="0" collapsed="false">
      <c r="A1109" s="7" t="s">
        <v>364</v>
      </c>
      <c r="B1109" s="7" t="s">
        <v>360</v>
      </c>
      <c r="C1109" s="7" t="s">
        <v>361</v>
      </c>
      <c r="D1109" s="7" t="s">
        <v>2532</v>
      </c>
      <c r="E1109" s="7" t="s">
        <v>267</v>
      </c>
      <c r="F1109" s="7" t="s">
        <v>2533</v>
      </c>
    </row>
    <row r="1110" customFormat="false" ht="15" hidden="false" customHeight="false" outlineLevel="0" collapsed="false">
      <c r="A1110" s="7" t="s">
        <v>364</v>
      </c>
      <c r="B1110" s="7" t="s">
        <v>360</v>
      </c>
      <c r="C1110" s="7" t="s">
        <v>361</v>
      </c>
      <c r="D1110" s="7" t="s">
        <v>2534</v>
      </c>
      <c r="E1110" s="7" t="s">
        <v>351</v>
      </c>
      <c r="F1110" s="7" t="s">
        <v>2475</v>
      </c>
    </row>
    <row r="1111" customFormat="false" ht="15" hidden="false" customHeight="false" outlineLevel="0" collapsed="false">
      <c r="A1111" s="7" t="s">
        <v>365</v>
      </c>
      <c r="B1111" s="7" t="s">
        <v>360</v>
      </c>
      <c r="C1111" s="7" t="s">
        <v>366</v>
      </c>
      <c r="D1111" s="7" t="s">
        <v>87</v>
      </c>
      <c r="E1111" s="7" t="s">
        <v>87</v>
      </c>
      <c r="F1111" s="7" t="s">
        <v>2535</v>
      </c>
    </row>
    <row r="1112" customFormat="false" ht="15" hidden="false" customHeight="false" outlineLevel="0" collapsed="false">
      <c r="A1112" s="7" t="s">
        <v>365</v>
      </c>
      <c r="B1112" s="7" t="s">
        <v>360</v>
      </c>
      <c r="C1112" s="7" t="s">
        <v>366</v>
      </c>
      <c r="D1112" s="7" t="s">
        <v>100</v>
      </c>
      <c r="E1112" s="7" t="s">
        <v>100</v>
      </c>
      <c r="F1112" s="7" t="s">
        <v>2536</v>
      </c>
    </row>
    <row r="1113" customFormat="false" ht="15" hidden="false" customHeight="false" outlineLevel="0" collapsed="false">
      <c r="A1113" s="7" t="s">
        <v>365</v>
      </c>
      <c r="B1113" s="7" t="s">
        <v>360</v>
      </c>
      <c r="C1113" s="7" t="s">
        <v>366</v>
      </c>
      <c r="D1113" s="7" t="s">
        <v>128</v>
      </c>
      <c r="E1113" s="7" t="s">
        <v>128</v>
      </c>
      <c r="F1113" s="7" t="s">
        <v>2537</v>
      </c>
    </row>
    <row r="1114" customFormat="false" ht="15" hidden="false" customHeight="false" outlineLevel="0" collapsed="false">
      <c r="A1114" s="7" t="s">
        <v>365</v>
      </c>
      <c r="B1114" s="7" t="s">
        <v>360</v>
      </c>
      <c r="C1114" s="7" t="s">
        <v>366</v>
      </c>
      <c r="D1114" s="7" t="s">
        <v>256</v>
      </c>
      <c r="E1114" s="7" t="s">
        <v>256</v>
      </c>
      <c r="F1114" s="7" t="s">
        <v>2538</v>
      </c>
    </row>
    <row r="1115" customFormat="false" ht="15" hidden="false" customHeight="false" outlineLevel="0" collapsed="false">
      <c r="A1115" s="7" t="s">
        <v>365</v>
      </c>
      <c r="B1115" s="7" t="s">
        <v>360</v>
      </c>
      <c r="C1115" s="7" t="s">
        <v>366</v>
      </c>
      <c r="D1115" s="7" t="s">
        <v>305</v>
      </c>
      <c r="E1115" s="7" t="s">
        <v>305</v>
      </c>
      <c r="F1115" s="7" t="s">
        <v>2539</v>
      </c>
    </row>
    <row r="1116" customFormat="false" ht="15" hidden="false" customHeight="false" outlineLevel="0" collapsed="false">
      <c r="A1116" s="7" t="s">
        <v>365</v>
      </c>
      <c r="B1116" s="7" t="s">
        <v>360</v>
      </c>
      <c r="C1116" s="7" t="s">
        <v>366</v>
      </c>
      <c r="D1116" s="7" t="s">
        <v>328</v>
      </c>
      <c r="E1116" s="7" t="s">
        <v>328</v>
      </c>
      <c r="F1116" s="7" t="s">
        <v>2540</v>
      </c>
    </row>
    <row r="1117" customFormat="false" ht="15" hidden="false" customHeight="false" outlineLevel="0" collapsed="false">
      <c r="A1117" s="7" t="s">
        <v>367</v>
      </c>
      <c r="B1117" s="7" t="s">
        <v>368</v>
      </c>
      <c r="C1117" s="7" t="s">
        <v>369</v>
      </c>
      <c r="D1117" s="7" t="s">
        <v>2541</v>
      </c>
      <c r="E1117" s="7" t="s">
        <v>122</v>
      </c>
      <c r="F1117" s="7" t="s">
        <v>2542</v>
      </c>
    </row>
    <row r="1118" customFormat="false" ht="15" hidden="false" customHeight="false" outlineLevel="0" collapsed="false">
      <c r="A1118" s="7" t="s">
        <v>367</v>
      </c>
      <c r="B1118" s="7" t="s">
        <v>368</v>
      </c>
      <c r="C1118" s="7" t="s">
        <v>369</v>
      </c>
      <c r="D1118" s="7" t="s">
        <v>2543</v>
      </c>
      <c r="E1118" s="7" t="s">
        <v>177</v>
      </c>
      <c r="F1118" s="7" t="s">
        <v>2544</v>
      </c>
    </row>
    <row r="1119" customFormat="false" ht="15" hidden="false" customHeight="false" outlineLevel="0" collapsed="false">
      <c r="A1119" s="7" t="s">
        <v>367</v>
      </c>
      <c r="B1119" s="7" t="s">
        <v>368</v>
      </c>
      <c r="C1119" s="7" t="s">
        <v>369</v>
      </c>
      <c r="D1119" s="7" t="s">
        <v>2545</v>
      </c>
      <c r="E1119" s="7" t="s">
        <v>203</v>
      </c>
      <c r="F1119" s="7" t="s">
        <v>2546</v>
      </c>
    </row>
    <row r="1120" customFormat="false" ht="15" hidden="false" customHeight="false" outlineLevel="0" collapsed="false">
      <c r="A1120" s="7" t="s">
        <v>367</v>
      </c>
      <c r="B1120" s="7" t="s">
        <v>368</v>
      </c>
      <c r="C1120" s="7" t="s">
        <v>369</v>
      </c>
      <c r="D1120" s="7" t="s">
        <v>2547</v>
      </c>
      <c r="E1120" s="7" t="s">
        <v>278</v>
      </c>
      <c r="F1120" s="7" t="s">
        <v>2548</v>
      </c>
    </row>
    <row r="1121" customFormat="false" ht="15" hidden="false" customHeight="false" outlineLevel="0" collapsed="false">
      <c r="A1121" s="7" t="s">
        <v>367</v>
      </c>
      <c r="B1121" s="7" t="s">
        <v>368</v>
      </c>
      <c r="C1121" s="7" t="s">
        <v>369</v>
      </c>
      <c r="D1121" s="7" t="s">
        <v>2549</v>
      </c>
      <c r="E1121" s="7" t="s">
        <v>344</v>
      </c>
      <c r="F1121" s="7" t="s">
        <v>2550</v>
      </c>
    </row>
    <row r="1122" customFormat="false" ht="15" hidden="false" customHeight="false" outlineLevel="0" collapsed="false">
      <c r="A1122" s="7" t="s">
        <v>367</v>
      </c>
      <c r="B1122" s="7" t="s">
        <v>368</v>
      </c>
      <c r="C1122" s="7" t="s">
        <v>369</v>
      </c>
      <c r="D1122" s="7" t="s">
        <v>2551</v>
      </c>
      <c r="E1122" s="7" t="s">
        <v>116</v>
      </c>
      <c r="F1122" s="7" t="s">
        <v>2552</v>
      </c>
    </row>
    <row r="1123" customFormat="false" ht="15" hidden="false" customHeight="false" outlineLevel="0" collapsed="false">
      <c r="A1123" s="7" t="s">
        <v>367</v>
      </c>
      <c r="B1123" s="7" t="s">
        <v>368</v>
      </c>
      <c r="C1123" s="7" t="s">
        <v>369</v>
      </c>
      <c r="D1123" s="7" t="s">
        <v>2553</v>
      </c>
      <c r="E1123" s="7" t="s">
        <v>228</v>
      </c>
      <c r="F1123" s="7" t="s">
        <v>2554</v>
      </c>
    </row>
    <row r="1124" customFormat="false" ht="15" hidden="false" customHeight="false" outlineLevel="0" collapsed="false">
      <c r="A1124" s="7" t="s">
        <v>367</v>
      </c>
      <c r="B1124" s="7" t="s">
        <v>368</v>
      </c>
      <c r="C1124" s="7" t="s">
        <v>369</v>
      </c>
      <c r="D1124" s="7" t="s">
        <v>2555</v>
      </c>
      <c r="E1124" s="7" t="s">
        <v>235</v>
      </c>
      <c r="F1124" s="7" t="s">
        <v>2556</v>
      </c>
    </row>
    <row r="1125" customFormat="false" ht="15" hidden="false" customHeight="false" outlineLevel="0" collapsed="false">
      <c r="A1125" s="7" t="s">
        <v>367</v>
      </c>
      <c r="B1125" s="7" t="s">
        <v>368</v>
      </c>
      <c r="C1125" s="7" t="s">
        <v>369</v>
      </c>
      <c r="D1125" s="7" t="s">
        <v>2557</v>
      </c>
      <c r="E1125" s="7" t="s">
        <v>106</v>
      </c>
      <c r="F1125" s="7" t="s">
        <v>2558</v>
      </c>
    </row>
    <row r="1126" customFormat="false" ht="15" hidden="false" customHeight="false" outlineLevel="0" collapsed="false">
      <c r="A1126" s="7" t="s">
        <v>367</v>
      </c>
      <c r="B1126" s="7" t="s">
        <v>368</v>
      </c>
      <c r="C1126" s="7" t="s">
        <v>369</v>
      </c>
      <c r="D1126" s="7" t="s">
        <v>2559</v>
      </c>
      <c r="E1126" s="7" t="s">
        <v>151</v>
      </c>
      <c r="F1126" s="7" t="s">
        <v>2560</v>
      </c>
    </row>
    <row r="1127" customFormat="false" ht="15" hidden="false" customHeight="false" outlineLevel="0" collapsed="false">
      <c r="A1127" s="7" t="s">
        <v>367</v>
      </c>
      <c r="B1127" s="7" t="s">
        <v>368</v>
      </c>
      <c r="C1127" s="7" t="s">
        <v>369</v>
      </c>
      <c r="D1127" s="7" t="s">
        <v>2561</v>
      </c>
      <c r="E1127" s="7" t="s">
        <v>210</v>
      </c>
      <c r="F1127" s="7" t="s">
        <v>2562</v>
      </c>
    </row>
    <row r="1128" customFormat="false" ht="15" hidden="false" customHeight="false" outlineLevel="0" collapsed="false">
      <c r="A1128" s="7" t="s">
        <v>367</v>
      </c>
      <c r="B1128" s="7" t="s">
        <v>368</v>
      </c>
      <c r="C1128" s="7" t="s">
        <v>369</v>
      </c>
      <c r="D1128" s="7" t="s">
        <v>2563</v>
      </c>
      <c r="E1128" s="7" t="s">
        <v>294</v>
      </c>
      <c r="F1128" s="7" t="s">
        <v>2564</v>
      </c>
    </row>
    <row r="1129" customFormat="false" ht="15" hidden="false" customHeight="false" outlineLevel="0" collapsed="false">
      <c r="A1129" s="7" t="s">
        <v>370</v>
      </c>
      <c r="B1129" s="7" t="s">
        <v>360</v>
      </c>
      <c r="C1129" s="7" t="s">
        <v>371</v>
      </c>
      <c r="D1129" s="7"/>
      <c r="E1129" s="7" t="s">
        <v>59</v>
      </c>
      <c r="F1129" s="7" t="s">
        <v>2565</v>
      </c>
    </row>
    <row r="1130" customFormat="false" ht="15" hidden="false" customHeight="false" outlineLevel="0" collapsed="false">
      <c r="A1130" s="7" t="s">
        <v>370</v>
      </c>
      <c r="B1130" s="7" t="s">
        <v>360</v>
      </c>
      <c r="C1130" s="7" t="s">
        <v>371</v>
      </c>
      <c r="D1130" s="7"/>
      <c r="E1130" s="7" t="s">
        <v>63</v>
      </c>
      <c r="F1130" s="7" t="s">
        <v>2566</v>
      </c>
    </row>
    <row r="1131" customFormat="false" ht="15" hidden="false" customHeight="false" outlineLevel="0" collapsed="false">
      <c r="A1131" s="7" t="s">
        <v>370</v>
      </c>
      <c r="B1131" s="7" t="s">
        <v>360</v>
      </c>
      <c r="C1131" s="7" t="s">
        <v>371</v>
      </c>
      <c r="D1131" s="7"/>
      <c r="E1131" s="7" t="s">
        <v>65</v>
      </c>
      <c r="F1131" s="7" t="s">
        <v>2566</v>
      </c>
    </row>
    <row r="1132" customFormat="false" ht="15" hidden="false" customHeight="false" outlineLevel="0" collapsed="false">
      <c r="A1132" s="7" t="s">
        <v>370</v>
      </c>
      <c r="B1132" s="7" t="s">
        <v>360</v>
      </c>
      <c r="C1132" s="7" t="s">
        <v>371</v>
      </c>
      <c r="D1132" s="7"/>
      <c r="E1132" s="7" t="s">
        <v>85</v>
      </c>
      <c r="F1132" s="7" t="s">
        <v>2567</v>
      </c>
    </row>
    <row r="1133" customFormat="false" ht="15" hidden="false" customHeight="false" outlineLevel="0" collapsed="false">
      <c r="A1133" s="7" t="s">
        <v>370</v>
      </c>
      <c r="B1133" s="7" t="s">
        <v>360</v>
      </c>
      <c r="C1133" s="7" t="s">
        <v>371</v>
      </c>
      <c r="D1133" s="7"/>
      <c r="E1133" s="7" t="s">
        <v>92</v>
      </c>
      <c r="F1133" s="7" t="s">
        <v>2568</v>
      </c>
    </row>
    <row r="1134" customFormat="false" ht="15" hidden="false" customHeight="false" outlineLevel="0" collapsed="false">
      <c r="A1134" s="7" t="s">
        <v>370</v>
      </c>
      <c r="B1134" s="7" t="s">
        <v>360</v>
      </c>
      <c r="C1134" s="7" t="s">
        <v>371</v>
      </c>
      <c r="D1134" s="7"/>
      <c r="E1134" s="7" t="s">
        <v>96</v>
      </c>
      <c r="F1134" s="7" t="s">
        <v>2569</v>
      </c>
    </row>
    <row r="1135" customFormat="false" ht="15" hidden="false" customHeight="false" outlineLevel="0" collapsed="false">
      <c r="A1135" s="7" t="s">
        <v>370</v>
      </c>
      <c r="B1135" s="7" t="s">
        <v>360</v>
      </c>
      <c r="C1135" s="7" t="s">
        <v>371</v>
      </c>
      <c r="D1135" s="7"/>
      <c r="E1135" s="7" t="s">
        <v>98</v>
      </c>
      <c r="F1135" s="7" t="s">
        <v>2570</v>
      </c>
    </row>
    <row r="1136" customFormat="false" ht="15" hidden="false" customHeight="false" outlineLevel="0" collapsed="false">
      <c r="A1136" s="7" t="s">
        <v>370</v>
      </c>
      <c r="B1136" s="7" t="s">
        <v>360</v>
      </c>
      <c r="C1136" s="7" t="s">
        <v>371</v>
      </c>
      <c r="D1136" s="7"/>
      <c r="E1136" s="7" t="s">
        <v>102</v>
      </c>
      <c r="F1136" s="7" t="s">
        <v>2571</v>
      </c>
    </row>
    <row r="1137" customFormat="false" ht="15" hidden="false" customHeight="false" outlineLevel="0" collapsed="false">
      <c r="A1137" s="7" t="s">
        <v>370</v>
      </c>
      <c r="B1137" s="7" t="s">
        <v>360</v>
      </c>
      <c r="C1137" s="7" t="s">
        <v>371</v>
      </c>
      <c r="D1137" s="7"/>
      <c r="E1137" s="7" t="s">
        <v>116</v>
      </c>
      <c r="F1137" s="7" t="s">
        <v>2572</v>
      </c>
    </row>
    <row r="1138" customFormat="false" ht="15" hidden="false" customHeight="false" outlineLevel="0" collapsed="false">
      <c r="A1138" s="7" t="s">
        <v>370</v>
      </c>
      <c r="B1138" s="7" t="s">
        <v>360</v>
      </c>
      <c r="C1138" s="7" t="s">
        <v>371</v>
      </c>
      <c r="D1138" s="7"/>
      <c r="E1138" s="7" t="s">
        <v>124</v>
      </c>
      <c r="F1138" s="7" t="s">
        <v>2573</v>
      </c>
    </row>
    <row r="1139" customFormat="false" ht="15" hidden="false" customHeight="false" outlineLevel="0" collapsed="false">
      <c r="A1139" s="7" t="s">
        <v>370</v>
      </c>
      <c r="B1139" s="7" t="s">
        <v>360</v>
      </c>
      <c r="C1139" s="7" t="s">
        <v>371</v>
      </c>
      <c r="D1139" s="7"/>
      <c r="E1139" s="7" t="s">
        <v>148</v>
      </c>
      <c r="F1139" s="7" t="s">
        <v>2574</v>
      </c>
    </row>
    <row r="1140" customFormat="false" ht="15" hidden="false" customHeight="false" outlineLevel="0" collapsed="false">
      <c r="A1140" s="7" t="s">
        <v>370</v>
      </c>
      <c r="B1140" s="7" t="s">
        <v>360</v>
      </c>
      <c r="C1140" s="7" t="s">
        <v>371</v>
      </c>
      <c r="D1140" s="7"/>
      <c r="E1140" s="7" t="s">
        <v>151</v>
      </c>
      <c r="F1140" s="7" t="s">
        <v>2575</v>
      </c>
    </row>
    <row r="1141" customFormat="false" ht="15" hidden="false" customHeight="false" outlineLevel="0" collapsed="false">
      <c r="A1141" s="7" t="s">
        <v>370</v>
      </c>
      <c r="B1141" s="7" t="s">
        <v>360</v>
      </c>
      <c r="C1141" s="7" t="s">
        <v>371</v>
      </c>
      <c r="D1141" s="7"/>
      <c r="E1141" s="7" t="s">
        <v>173</v>
      </c>
      <c r="F1141" s="7" t="s">
        <v>2576</v>
      </c>
    </row>
    <row r="1142" customFormat="false" ht="15" hidden="false" customHeight="false" outlineLevel="0" collapsed="false">
      <c r="A1142" s="7" t="s">
        <v>370</v>
      </c>
      <c r="B1142" s="7" t="s">
        <v>360</v>
      </c>
      <c r="C1142" s="7" t="s">
        <v>371</v>
      </c>
      <c r="D1142" s="7"/>
      <c r="E1142" s="7" t="s">
        <v>185</v>
      </c>
      <c r="F1142" s="7" t="s">
        <v>2573</v>
      </c>
    </row>
    <row r="1143" customFormat="false" ht="15" hidden="false" customHeight="false" outlineLevel="0" collapsed="false">
      <c r="A1143" s="7" t="s">
        <v>370</v>
      </c>
      <c r="B1143" s="7" t="s">
        <v>360</v>
      </c>
      <c r="C1143" s="7" t="s">
        <v>371</v>
      </c>
      <c r="D1143" s="7"/>
      <c r="E1143" s="7" t="s">
        <v>196</v>
      </c>
      <c r="F1143" s="7" t="s">
        <v>2572</v>
      </c>
    </row>
    <row r="1144" customFormat="false" ht="15" hidden="false" customHeight="false" outlineLevel="0" collapsed="false">
      <c r="A1144" s="7" t="s">
        <v>370</v>
      </c>
      <c r="B1144" s="7" t="s">
        <v>360</v>
      </c>
      <c r="C1144" s="7" t="s">
        <v>371</v>
      </c>
      <c r="D1144" s="7"/>
      <c r="E1144" s="7" t="s">
        <v>197</v>
      </c>
      <c r="F1144" s="7" t="s">
        <v>2577</v>
      </c>
    </row>
    <row r="1145" customFormat="false" ht="15" hidden="false" customHeight="false" outlineLevel="0" collapsed="false">
      <c r="A1145" s="7" t="s">
        <v>370</v>
      </c>
      <c r="B1145" s="7" t="s">
        <v>360</v>
      </c>
      <c r="C1145" s="7" t="s">
        <v>371</v>
      </c>
      <c r="D1145" s="7"/>
      <c r="E1145" s="7" t="s">
        <v>216</v>
      </c>
      <c r="F1145" s="7" t="s">
        <v>2566</v>
      </c>
    </row>
    <row r="1146" customFormat="false" ht="15" hidden="false" customHeight="false" outlineLevel="0" collapsed="false">
      <c r="A1146" s="7" t="s">
        <v>370</v>
      </c>
      <c r="B1146" s="7" t="s">
        <v>360</v>
      </c>
      <c r="C1146" s="7" t="s">
        <v>371</v>
      </c>
      <c r="D1146" s="7"/>
      <c r="E1146" s="7" t="s">
        <v>238</v>
      </c>
      <c r="F1146" s="7" t="s">
        <v>2578</v>
      </c>
    </row>
    <row r="1147" customFormat="false" ht="15" hidden="false" customHeight="false" outlineLevel="0" collapsed="false">
      <c r="A1147" s="7" t="s">
        <v>370</v>
      </c>
      <c r="B1147" s="7" t="s">
        <v>360</v>
      </c>
      <c r="C1147" s="7" t="s">
        <v>371</v>
      </c>
      <c r="D1147" s="7"/>
      <c r="E1147" s="7" t="s">
        <v>242</v>
      </c>
      <c r="F1147" s="7" t="s">
        <v>2566</v>
      </c>
    </row>
    <row r="1148" customFormat="false" ht="15" hidden="false" customHeight="false" outlineLevel="0" collapsed="false">
      <c r="A1148" s="7" t="s">
        <v>370</v>
      </c>
      <c r="B1148" s="7" t="s">
        <v>360</v>
      </c>
      <c r="C1148" s="7" t="s">
        <v>371</v>
      </c>
      <c r="D1148" s="7"/>
      <c r="E1148" s="7" t="s">
        <v>245</v>
      </c>
      <c r="F1148" s="7" t="s">
        <v>2579</v>
      </c>
    </row>
    <row r="1149" customFormat="false" ht="15" hidden="false" customHeight="false" outlineLevel="0" collapsed="false">
      <c r="A1149" s="7" t="s">
        <v>370</v>
      </c>
      <c r="B1149" s="7" t="s">
        <v>360</v>
      </c>
      <c r="C1149" s="7" t="s">
        <v>371</v>
      </c>
      <c r="D1149" s="7"/>
      <c r="E1149" s="7" t="s">
        <v>254</v>
      </c>
      <c r="F1149" s="7" t="s">
        <v>2578</v>
      </c>
    </row>
    <row r="1150" customFormat="false" ht="15" hidden="false" customHeight="false" outlineLevel="0" collapsed="false">
      <c r="A1150" s="7" t="s">
        <v>370</v>
      </c>
      <c r="B1150" s="7" t="s">
        <v>360</v>
      </c>
      <c r="C1150" s="7" t="s">
        <v>371</v>
      </c>
      <c r="D1150" s="7"/>
      <c r="E1150" s="7" t="s">
        <v>275</v>
      </c>
      <c r="F1150" s="7" t="s">
        <v>2574</v>
      </c>
    </row>
    <row r="1151" customFormat="false" ht="15" hidden="false" customHeight="false" outlineLevel="0" collapsed="false">
      <c r="A1151" s="7" t="s">
        <v>370</v>
      </c>
      <c r="B1151" s="7" t="s">
        <v>360</v>
      </c>
      <c r="C1151" s="7" t="s">
        <v>371</v>
      </c>
      <c r="D1151" s="7"/>
      <c r="E1151" s="7" t="s">
        <v>285</v>
      </c>
      <c r="F1151" s="7" t="s">
        <v>2580</v>
      </c>
    </row>
    <row r="1152" customFormat="false" ht="15" hidden="false" customHeight="false" outlineLevel="0" collapsed="false">
      <c r="A1152" s="7" t="s">
        <v>370</v>
      </c>
      <c r="B1152" s="7" t="s">
        <v>360</v>
      </c>
      <c r="C1152" s="7" t="s">
        <v>371</v>
      </c>
      <c r="D1152" s="7"/>
      <c r="E1152" s="7" t="s">
        <v>289</v>
      </c>
      <c r="F1152" s="7" t="s">
        <v>2565</v>
      </c>
    </row>
    <row r="1153" customFormat="false" ht="15" hidden="false" customHeight="false" outlineLevel="0" collapsed="false">
      <c r="A1153" s="7" t="s">
        <v>370</v>
      </c>
      <c r="B1153" s="7" t="s">
        <v>360</v>
      </c>
      <c r="C1153" s="7" t="s">
        <v>371</v>
      </c>
      <c r="D1153" s="7"/>
      <c r="E1153" s="7" t="s">
        <v>296</v>
      </c>
      <c r="F1153" s="7" t="s">
        <v>2568</v>
      </c>
    </row>
    <row r="1154" customFormat="false" ht="15" hidden="false" customHeight="false" outlineLevel="0" collapsed="false">
      <c r="A1154" s="7" t="s">
        <v>370</v>
      </c>
      <c r="B1154" s="7" t="s">
        <v>360</v>
      </c>
      <c r="C1154" s="7" t="s">
        <v>371</v>
      </c>
      <c r="D1154" s="7"/>
      <c r="E1154" s="7" t="s">
        <v>309</v>
      </c>
      <c r="F1154" s="7" t="s">
        <v>2581</v>
      </c>
    </row>
    <row r="1155" customFormat="false" ht="15" hidden="false" customHeight="false" outlineLevel="0" collapsed="false">
      <c r="A1155" s="7" t="s">
        <v>370</v>
      </c>
      <c r="B1155" s="7" t="s">
        <v>360</v>
      </c>
      <c r="C1155" s="7" t="s">
        <v>371</v>
      </c>
      <c r="D1155" s="7"/>
      <c r="E1155" s="7" t="s">
        <v>340</v>
      </c>
      <c r="F1155" s="7" t="s">
        <v>2582</v>
      </c>
    </row>
    <row r="1156" customFormat="false" ht="15" hidden="false" customHeight="false" outlineLevel="0" collapsed="false">
      <c r="A1156" s="7" t="s">
        <v>370</v>
      </c>
      <c r="B1156" s="7" t="s">
        <v>360</v>
      </c>
      <c r="C1156" s="7" t="s">
        <v>371</v>
      </c>
      <c r="D1156" s="7"/>
      <c r="E1156" s="7" t="s">
        <v>349</v>
      </c>
      <c r="F1156" s="7" t="s">
        <v>2583</v>
      </c>
    </row>
  </sheetData>
  <autoFilter ref="A3:F11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2584</v>
      </c>
    </row>
    <row r="2" customFormat="false" ht="15" hidden="false" customHeight="false" outlineLevel="0" collapsed="false">
      <c r="A2" s="2" t="s">
        <v>2585</v>
      </c>
    </row>
    <row r="3" customFormat="false" ht="30" hidden="false" customHeight="true" outlineLevel="0" collapsed="false">
      <c r="A3" s="3" t="s">
        <v>374</v>
      </c>
      <c r="B3" s="3" t="s">
        <v>2586</v>
      </c>
      <c r="C3" s="3" t="s">
        <v>2587</v>
      </c>
      <c r="D3" s="3" t="s">
        <v>2588</v>
      </c>
      <c r="E3" s="3" t="s">
        <v>2589</v>
      </c>
      <c r="F3" s="3" t="s">
        <v>2590</v>
      </c>
    </row>
    <row r="4" customFormat="false" ht="15" hidden="false" customHeight="false" outlineLevel="0" collapsed="false">
      <c r="A4" s="7" t="s">
        <v>192</v>
      </c>
      <c r="B4" s="7" t="s">
        <v>103</v>
      </c>
      <c r="C4" s="7" t="s">
        <v>51</v>
      </c>
      <c r="D4" s="10" t="n">
        <v>4000</v>
      </c>
      <c r="E4" s="10" t="n">
        <v>1000</v>
      </c>
      <c r="F4" s="10" t="n">
        <v>3000</v>
      </c>
    </row>
    <row r="5" customFormat="false" ht="15" hidden="false" customHeight="false" outlineLevel="0" collapsed="false">
      <c r="A5" s="7" t="s">
        <v>203</v>
      </c>
      <c r="B5" s="7" t="s">
        <v>204</v>
      </c>
      <c r="C5" s="7" t="s">
        <v>40</v>
      </c>
      <c r="D5" s="10" t="n">
        <v>5500</v>
      </c>
      <c r="E5" s="10" t="n">
        <v>2500</v>
      </c>
      <c r="F5" s="10" t="n">
        <v>3000</v>
      </c>
    </row>
    <row r="6" customFormat="false" ht="15" hidden="false" customHeight="false" outlineLevel="0" collapsed="false">
      <c r="A6" s="7" t="s">
        <v>267</v>
      </c>
      <c r="B6" s="7" t="s">
        <v>268</v>
      </c>
      <c r="C6" s="7" t="s">
        <v>37</v>
      </c>
      <c r="D6" s="10" t="n">
        <v>5500</v>
      </c>
      <c r="E6" s="10" t="n">
        <v>2500</v>
      </c>
      <c r="F6" s="10" t="n">
        <v>3000</v>
      </c>
    </row>
    <row r="7" customFormat="false" ht="15" hidden="false" customHeight="false" outlineLevel="0" collapsed="false">
      <c r="A7" s="7" t="s">
        <v>81</v>
      </c>
      <c r="B7" s="7" t="s">
        <v>82</v>
      </c>
      <c r="C7" s="7" t="s">
        <v>37</v>
      </c>
      <c r="D7" s="10" t="n">
        <v>2500</v>
      </c>
      <c r="E7" s="10" t="n">
        <v>0</v>
      </c>
      <c r="F7" s="10" t="n">
        <v>2500</v>
      </c>
    </row>
    <row r="8" customFormat="false" ht="15" hidden="false" customHeight="false" outlineLevel="0" collapsed="false">
      <c r="A8" s="7" t="s">
        <v>41</v>
      </c>
      <c r="B8" s="7" t="s">
        <v>42</v>
      </c>
      <c r="C8" s="7" t="s">
        <v>40</v>
      </c>
      <c r="D8" s="10" t="n">
        <v>4000</v>
      </c>
      <c r="E8" s="10" t="n">
        <v>2500</v>
      </c>
      <c r="F8" s="10" t="n">
        <v>1500</v>
      </c>
    </row>
    <row r="9" customFormat="false" ht="15" hidden="false" customHeight="false" outlineLevel="0" collapsed="false">
      <c r="A9" s="7" t="s">
        <v>45</v>
      </c>
      <c r="B9" s="7" t="s">
        <v>46</v>
      </c>
      <c r="C9" s="7" t="s">
        <v>33</v>
      </c>
      <c r="D9" s="10" t="n">
        <v>2500</v>
      </c>
      <c r="E9" s="10" t="n">
        <v>1000</v>
      </c>
      <c r="F9" s="10" t="n">
        <v>1500</v>
      </c>
    </row>
    <row r="10" customFormat="false" ht="15" hidden="false" customHeight="false" outlineLevel="0" collapsed="false">
      <c r="A10" s="7" t="s">
        <v>47</v>
      </c>
      <c r="B10" s="7" t="s">
        <v>48</v>
      </c>
      <c r="C10" s="7" t="s">
        <v>29</v>
      </c>
      <c r="D10" s="10" t="n">
        <v>4000</v>
      </c>
      <c r="E10" s="10" t="n">
        <v>2500</v>
      </c>
      <c r="F10" s="10" t="n">
        <v>1500</v>
      </c>
    </row>
    <row r="11" customFormat="false" ht="15" hidden="false" customHeight="false" outlineLevel="0" collapsed="false">
      <c r="A11" s="7" t="s">
        <v>59</v>
      </c>
      <c r="B11" s="7" t="s">
        <v>60</v>
      </c>
      <c r="C11" s="7" t="s">
        <v>51</v>
      </c>
      <c r="D11" s="10" t="n">
        <v>4000</v>
      </c>
      <c r="E11" s="10" t="n">
        <v>2500</v>
      </c>
      <c r="F11" s="10" t="n">
        <v>1500</v>
      </c>
    </row>
    <row r="12" customFormat="false" ht="15" hidden="false" customHeight="false" outlineLevel="0" collapsed="false">
      <c r="A12" s="7" t="s">
        <v>63</v>
      </c>
      <c r="B12" s="7" t="s">
        <v>64</v>
      </c>
      <c r="C12" s="7" t="s">
        <v>51</v>
      </c>
      <c r="D12" s="10" t="n">
        <v>2500</v>
      </c>
      <c r="E12" s="10" t="n">
        <v>1000</v>
      </c>
      <c r="F12" s="10" t="n">
        <v>1500</v>
      </c>
    </row>
    <row r="13" customFormat="false" ht="15" hidden="false" customHeight="false" outlineLevel="0" collapsed="false">
      <c r="A13" s="7" t="s">
        <v>65</v>
      </c>
      <c r="B13" s="7" t="s">
        <v>66</v>
      </c>
      <c r="C13" s="7" t="s">
        <v>29</v>
      </c>
      <c r="D13" s="10" t="n">
        <v>2500</v>
      </c>
      <c r="E13" s="10" t="n">
        <v>1000</v>
      </c>
      <c r="F13" s="10" t="n">
        <v>1500</v>
      </c>
    </row>
    <row r="14" customFormat="false" ht="15" hidden="false" customHeight="false" outlineLevel="0" collapsed="false">
      <c r="A14" s="7" t="s">
        <v>73</v>
      </c>
      <c r="B14" s="7" t="s">
        <v>74</v>
      </c>
      <c r="C14" s="7" t="s">
        <v>40</v>
      </c>
      <c r="D14" s="10" t="n">
        <v>4000</v>
      </c>
      <c r="E14" s="10" t="n">
        <v>2500</v>
      </c>
      <c r="F14" s="10" t="n">
        <v>1500</v>
      </c>
    </row>
    <row r="15" customFormat="false" ht="15" hidden="false" customHeight="false" outlineLevel="0" collapsed="false">
      <c r="A15" s="7" t="s">
        <v>83</v>
      </c>
      <c r="B15" s="7" t="s">
        <v>84</v>
      </c>
      <c r="C15" s="7" t="s">
        <v>33</v>
      </c>
      <c r="D15" s="10" t="n">
        <v>4000</v>
      </c>
      <c r="E15" s="10" t="n">
        <v>2500</v>
      </c>
      <c r="F15" s="10" t="n">
        <v>1500</v>
      </c>
    </row>
    <row r="16" customFormat="false" ht="15" hidden="false" customHeight="false" outlineLevel="0" collapsed="false">
      <c r="A16" s="7" t="s">
        <v>92</v>
      </c>
      <c r="B16" s="7" t="s">
        <v>93</v>
      </c>
      <c r="C16" s="7" t="s">
        <v>51</v>
      </c>
      <c r="D16" s="10" t="n">
        <v>4000</v>
      </c>
      <c r="E16" s="10" t="n">
        <v>2500</v>
      </c>
      <c r="F16" s="10" t="n">
        <v>1500</v>
      </c>
    </row>
    <row r="17" customFormat="false" ht="15" hidden="false" customHeight="false" outlineLevel="0" collapsed="false">
      <c r="A17" s="7" t="s">
        <v>94</v>
      </c>
      <c r="B17" s="7" t="s">
        <v>95</v>
      </c>
      <c r="C17" s="7" t="s">
        <v>40</v>
      </c>
      <c r="D17" s="10" t="n">
        <v>2500</v>
      </c>
      <c r="E17" s="10" t="n">
        <v>1000</v>
      </c>
      <c r="F17" s="10" t="n">
        <v>1500</v>
      </c>
    </row>
    <row r="18" customFormat="false" ht="15" hidden="false" customHeight="false" outlineLevel="0" collapsed="false">
      <c r="A18" s="7" t="s">
        <v>101</v>
      </c>
      <c r="B18" s="7" t="s">
        <v>78</v>
      </c>
      <c r="C18" s="7" t="s">
        <v>51</v>
      </c>
      <c r="D18" s="10" t="n">
        <v>4000</v>
      </c>
      <c r="E18" s="10" t="n">
        <v>2500</v>
      </c>
      <c r="F18" s="10" t="n">
        <v>1500</v>
      </c>
    </row>
    <row r="19" customFormat="false" ht="15" hidden="false" customHeight="false" outlineLevel="0" collapsed="false">
      <c r="A19" s="7" t="s">
        <v>115</v>
      </c>
      <c r="B19" s="7" t="s">
        <v>76</v>
      </c>
      <c r="C19" s="7" t="s">
        <v>51</v>
      </c>
      <c r="D19" s="10" t="n">
        <v>5500</v>
      </c>
      <c r="E19" s="10" t="n">
        <v>4000</v>
      </c>
      <c r="F19" s="10" t="n">
        <v>1500</v>
      </c>
    </row>
    <row r="20" customFormat="false" ht="15" hidden="false" customHeight="false" outlineLevel="0" collapsed="false">
      <c r="A20" s="7" t="s">
        <v>116</v>
      </c>
      <c r="B20" s="7" t="s">
        <v>117</v>
      </c>
      <c r="C20" s="7" t="s">
        <v>33</v>
      </c>
      <c r="D20" s="10" t="n">
        <v>5500</v>
      </c>
      <c r="E20" s="10" t="n">
        <v>4000</v>
      </c>
      <c r="F20" s="10" t="n">
        <v>1500</v>
      </c>
    </row>
    <row r="21" customFormat="false" ht="15" hidden="false" customHeight="false" outlineLevel="0" collapsed="false">
      <c r="A21" s="7" t="s">
        <v>118</v>
      </c>
      <c r="B21" s="7" t="s">
        <v>119</v>
      </c>
      <c r="C21" s="7" t="s">
        <v>29</v>
      </c>
      <c r="D21" s="10" t="n">
        <v>5500</v>
      </c>
      <c r="E21" s="10" t="n">
        <v>4000</v>
      </c>
      <c r="F21" s="10" t="n">
        <v>1500</v>
      </c>
    </row>
    <row r="22" customFormat="false" ht="15" hidden="false" customHeight="false" outlineLevel="0" collapsed="false">
      <c r="A22" s="7" t="s">
        <v>120</v>
      </c>
      <c r="B22" s="7" t="s">
        <v>121</v>
      </c>
      <c r="C22" s="7" t="s">
        <v>51</v>
      </c>
      <c r="D22" s="10" t="n">
        <v>4000</v>
      </c>
      <c r="E22" s="10" t="n">
        <v>2500</v>
      </c>
      <c r="F22" s="10" t="n">
        <v>1500</v>
      </c>
    </row>
    <row r="23" customFormat="false" ht="15" hidden="false" customHeight="false" outlineLevel="0" collapsed="false">
      <c r="A23" s="7" t="s">
        <v>126</v>
      </c>
      <c r="B23" s="7" t="s">
        <v>127</v>
      </c>
      <c r="C23" s="7" t="s">
        <v>33</v>
      </c>
      <c r="D23" s="10" t="n">
        <v>5500</v>
      </c>
      <c r="E23" s="10" t="n">
        <v>4000</v>
      </c>
      <c r="F23" s="10" t="n">
        <v>1500</v>
      </c>
    </row>
    <row r="24" customFormat="false" ht="15" hidden="false" customHeight="false" outlineLevel="0" collapsed="false">
      <c r="A24" s="7" t="s">
        <v>138</v>
      </c>
      <c r="B24" s="7" t="s">
        <v>139</v>
      </c>
      <c r="C24" s="7" t="s">
        <v>51</v>
      </c>
      <c r="D24" s="10" t="n">
        <v>4000</v>
      </c>
      <c r="E24" s="10" t="n">
        <v>2500</v>
      </c>
      <c r="F24" s="10" t="n">
        <v>1500</v>
      </c>
    </row>
    <row r="25" customFormat="false" ht="15" hidden="false" customHeight="false" outlineLevel="0" collapsed="false">
      <c r="A25" s="7" t="s">
        <v>144</v>
      </c>
      <c r="B25" s="7" t="s">
        <v>145</v>
      </c>
      <c r="C25" s="7" t="s">
        <v>51</v>
      </c>
      <c r="D25" s="10" t="n">
        <v>5500</v>
      </c>
      <c r="E25" s="10" t="n">
        <v>4000</v>
      </c>
      <c r="F25" s="10" t="n">
        <v>1500</v>
      </c>
    </row>
    <row r="26" customFormat="false" ht="15" hidden="false" customHeight="false" outlineLevel="0" collapsed="false">
      <c r="A26" s="7" t="s">
        <v>146</v>
      </c>
      <c r="B26" s="7" t="s">
        <v>147</v>
      </c>
      <c r="C26" s="7" t="s">
        <v>51</v>
      </c>
      <c r="D26" s="10" t="n">
        <v>4000</v>
      </c>
      <c r="E26" s="10" t="n">
        <v>2500</v>
      </c>
      <c r="F26" s="10" t="n">
        <v>1500</v>
      </c>
    </row>
    <row r="27" customFormat="false" ht="15" hidden="false" customHeight="false" outlineLevel="0" collapsed="false">
      <c r="A27" s="7" t="s">
        <v>151</v>
      </c>
      <c r="B27" s="7" t="s">
        <v>152</v>
      </c>
      <c r="C27" s="7" t="s">
        <v>33</v>
      </c>
      <c r="D27" s="10" t="n">
        <v>2500</v>
      </c>
      <c r="E27" s="10" t="n">
        <v>1000</v>
      </c>
      <c r="F27" s="10" t="n">
        <v>1500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33</v>
      </c>
      <c r="D28" s="10" t="n">
        <v>4000</v>
      </c>
      <c r="E28" s="10" t="n">
        <v>2500</v>
      </c>
      <c r="F28" s="10" t="n">
        <v>1500</v>
      </c>
    </row>
    <row r="29" customFormat="false" ht="15" hidden="false" customHeight="false" outlineLevel="0" collapsed="false">
      <c r="A29" s="7" t="s">
        <v>155</v>
      </c>
      <c r="B29" s="7" t="s">
        <v>156</v>
      </c>
      <c r="C29" s="7" t="s">
        <v>33</v>
      </c>
      <c r="D29" s="10" t="n">
        <v>4000</v>
      </c>
      <c r="E29" s="10" t="n">
        <v>2500</v>
      </c>
      <c r="F29" s="10" t="n">
        <v>1500</v>
      </c>
    </row>
    <row r="30" customFormat="false" ht="15" hidden="false" customHeight="false" outlineLevel="0" collapsed="false">
      <c r="A30" s="7" t="s">
        <v>159</v>
      </c>
      <c r="B30" s="7" t="s">
        <v>160</v>
      </c>
      <c r="C30" s="7" t="s">
        <v>51</v>
      </c>
      <c r="D30" s="10" t="n">
        <v>2500</v>
      </c>
      <c r="E30" s="10" t="n">
        <v>1000</v>
      </c>
      <c r="F30" s="10" t="n">
        <v>1500</v>
      </c>
    </row>
    <row r="31" customFormat="false" ht="15" hidden="false" customHeight="false" outlineLevel="0" collapsed="false">
      <c r="A31" s="7" t="s">
        <v>163</v>
      </c>
      <c r="B31" s="7" t="s">
        <v>164</v>
      </c>
      <c r="C31" s="7" t="s">
        <v>29</v>
      </c>
      <c r="D31" s="10" t="n">
        <v>5500</v>
      </c>
      <c r="E31" s="10" t="n">
        <v>4000</v>
      </c>
      <c r="F31" s="10" t="n">
        <v>1500</v>
      </c>
    </row>
    <row r="32" customFormat="false" ht="15" hidden="false" customHeight="false" outlineLevel="0" collapsed="false">
      <c r="A32" s="7" t="s">
        <v>165</v>
      </c>
      <c r="B32" s="7" t="s">
        <v>166</v>
      </c>
      <c r="C32" s="7" t="s">
        <v>40</v>
      </c>
      <c r="D32" s="10" t="n">
        <v>2500</v>
      </c>
      <c r="E32" s="10" t="n">
        <v>1000</v>
      </c>
      <c r="F32" s="10" t="n">
        <v>1500</v>
      </c>
    </row>
    <row r="33" customFormat="false" ht="15" hidden="false" customHeight="false" outlineLevel="0" collapsed="false">
      <c r="A33" s="7" t="s">
        <v>177</v>
      </c>
      <c r="B33" s="7" t="s">
        <v>127</v>
      </c>
      <c r="C33" s="7" t="s">
        <v>37</v>
      </c>
      <c r="D33" s="10" t="n">
        <v>4000</v>
      </c>
      <c r="E33" s="10" t="n">
        <v>2500</v>
      </c>
      <c r="F33" s="10" t="n">
        <v>1500</v>
      </c>
    </row>
    <row r="34" customFormat="false" ht="15" hidden="false" customHeight="false" outlineLevel="0" collapsed="false">
      <c r="A34" s="7" t="s">
        <v>178</v>
      </c>
      <c r="B34" s="7" t="s">
        <v>179</v>
      </c>
      <c r="C34" s="7" t="s">
        <v>37</v>
      </c>
      <c r="D34" s="10" t="n">
        <v>5500</v>
      </c>
      <c r="E34" s="10" t="n">
        <v>4000</v>
      </c>
      <c r="F34" s="10" t="n">
        <v>1500</v>
      </c>
    </row>
    <row r="35" customFormat="false" ht="15" hidden="false" customHeight="false" outlineLevel="0" collapsed="false">
      <c r="A35" s="7" t="s">
        <v>190</v>
      </c>
      <c r="B35" s="7" t="s">
        <v>191</v>
      </c>
      <c r="C35" s="7" t="s">
        <v>40</v>
      </c>
      <c r="D35" s="10" t="n">
        <v>2500</v>
      </c>
      <c r="E35" s="10" t="n">
        <v>1000</v>
      </c>
      <c r="F35" s="10" t="n">
        <v>1500</v>
      </c>
    </row>
    <row r="36" customFormat="false" ht="15" hidden="false" customHeight="false" outlineLevel="0" collapsed="false">
      <c r="A36" s="7" t="s">
        <v>193</v>
      </c>
      <c r="B36" s="7" t="s">
        <v>134</v>
      </c>
      <c r="C36" s="7" t="s">
        <v>29</v>
      </c>
      <c r="D36" s="10" t="n">
        <v>2500</v>
      </c>
      <c r="E36" s="10" t="n">
        <v>1000</v>
      </c>
      <c r="F36" s="10" t="n">
        <v>1500</v>
      </c>
    </row>
    <row r="37" customFormat="false" ht="15" hidden="false" customHeight="false" outlineLevel="0" collapsed="false">
      <c r="A37" s="7" t="s">
        <v>196</v>
      </c>
      <c r="B37" s="7" t="s">
        <v>62</v>
      </c>
      <c r="C37" s="7" t="s">
        <v>37</v>
      </c>
      <c r="D37" s="10" t="n">
        <v>5500</v>
      </c>
      <c r="E37" s="10" t="n">
        <v>4000</v>
      </c>
      <c r="F37" s="10" t="n">
        <v>1500</v>
      </c>
    </row>
    <row r="38" customFormat="false" ht="15" hidden="false" customHeight="false" outlineLevel="0" collapsed="false">
      <c r="A38" s="7" t="s">
        <v>199</v>
      </c>
      <c r="B38" s="7" t="s">
        <v>200</v>
      </c>
      <c r="C38" s="7" t="s">
        <v>33</v>
      </c>
      <c r="D38" s="10" t="n">
        <v>4000</v>
      </c>
      <c r="E38" s="10" t="n">
        <v>2500</v>
      </c>
      <c r="F38" s="10" t="n">
        <v>1500</v>
      </c>
    </row>
    <row r="39" customFormat="false" ht="15" hidden="false" customHeight="false" outlineLevel="0" collapsed="false">
      <c r="A39" s="7" t="s">
        <v>201</v>
      </c>
      <c r="B39" s="7" t="s">
        <v>202</v>
      </c>
      <c r="C39" s="7" t="s">
        <v>33</v>
      </c>
      <c r="D39" s="10" t="n">
        <v>2500</v>
      </c>
      <c r="E39" s="10" t="n">
        <v>1000</v>
      </c>
      <c r="F39" s="10" t="n">
        <v>1500</v>
      </c>
    </row>
    <row r="40" customFormat="false" ht="15" hidden="false" customHeight="false" outlineLevel="0" collapsed="false">
      <c r="A40" s="7" t="s">
        <v>207</v>
      </c>
      <c r="B40" s="7" t="s">
        <v>208</v>
      </c>
      <c r="C40" s="7" t="s">
        <v>40</v>
      </c>
      <c r="D40" s="10" t="n">
        <v>4000</v>
      </c>
      <c r="E40" s="10" t="n">
        <v>2500</v>
      </c>
      <c r="F40" s="10" t="n">
        <v>1500</v>
      </c>
    </row>
    <row r="41" customFormat="false" ht="15" hidden="false" customHeight="false" outlineLevel="0" collapsed="false">
      <c r="A41" s="7" t="s">
        <v>210</v>
      </c>
      <c r="B41" s="7" t="s">
        <v>211</v>
      </c>
      <c r="C41" s="7" t="s">
        <v>29</v>
      </c>
      <c r="D41" s="10" t="n">
        <v>4000</v>
      </c>
      <c r="E41" s="10" t="n">
        <v>2500</v>
      </c>
      <c r="F41" s="10" t="n">
        <v>1500</v>
      </c>
    </row>
    <row r="42" customFormat="false" ht="15" hidden="false" customHeight="false" outlineLevel="0" collapsed="false">
      <c r="A42" s="7" t="s">
        <v>212</v>
      </c>
      <c r="B42" s="7" t="s">
        <v>213</v>
      </c>
      <c r="C42" s="7" t="s">
        <v>51</v>
      </c>
      <c r="D42" s="10" t="n">
        <v>2500</v>
      </c>
      <c r="E42" s="10" t="n">
        <v>1000</v>
      </c>
      <c r="F42" s="10" t="n">
        <v>1500</v>
      </c>
    </row>
    <row r="43" customFormat="false" ht="15" hidden="false" customHeight="false" outlineLevel="0" collapsed="false">
      <c r="A43" s="7" t="s">
        <v>215</v>
      </c>
      <c r="B43" s="7" t="s">
        <v>208</v>
      </c>
      <c r="C43" s="7" t="s">
        <v>33</v>
      </c>
      <c r="D43" s="10" t="n">
        <v>4000</v>
      </c>
      <c r="E43" s="10" t="n">
        <v>2500</v>
      </c>
      <c r="F43" s="10" t="n">
        <v>1500</v>
      </c>
    </row>
    <row r="44" customFormat="false" ht="15" hidden="false" customHeight="false" outlineLevel="0" collapsed="false">
      <c r="A44" s="7" t="s">
        <v>216</v>
      </c>
      <c r="B44" s="7" t="s">
        <v>217</v>
      </c>
      <c r="C44" s="7" t="s">
        <v>37</v>
      </c>
      <c r="D44" s="10" t="n">
        <v>2500</v>
      </c>
      <c r="E44" s="10" t="n">
        <v>1000</v>
      </c>
      <c r="F44" s="10" t="n">
        <v>1500</v>
      </c>
    </row>
    <row r="45" customFormat="false" ht="15" hidden="false" customHeight="false" outlineLevel="0" collapsed="false">
      <c r="A45" s="7" t="s">
        <v>218</v>
      </c>
      <c r="B45" s="7" t="s">
        <v>219</v>
      </c>
      <c r="C45" s="7" t="s">
        <v>40</v>
      </c>
      <c r="D45" s="10" t="n">
        <v>4000</v>
      </c>
      <c r="E45" s="10" t="n">
        <v>2500</v>
      </c>
      <c r="F45" s="10" t="n">
        <v>1500</v>
      </c>
    </row>
    <row r="46" customFormat="false" ht="15" hidden="false" customHeight="false" outlineLevel="0" collapsed="false">
      <c r="A46" s="7" t="s">
        <v>232</v>
      </c>
      <c r="B46" s="7" t="s">
        <v>158</v>
      </c>
      <c r="C46" s="7" t="s">
        <v>33</v>
      </c>
      <c r="D46" s="10" t="n">
        <v>2500</v>
      </c>
      <c r="E46" s="10" t="n">
        <v>1000</v>
      </c>
      <c r="F46" s="10" t="n">
        <v>1500</v>
      </c>
    </row>
    <row r="47" customFormat="false" ht="15" hidden="false" customHeight="false" outlineLevel="0" collapsed="false">
      <c r="A47" s="7" t="s">
        <v>233</v>
      </c>
      <c r="B47" s="7" t="s">
        <v>234</v>
      </c>
      <c r="C47" s="7" t="s">
        <v>37</v>
      </c>
      <c r="D47" s="10" t="n">
        <v>4000</v>
      </c>
      <c r="E47" s="10" t="n">
        <v>2500</v>
      </c>
      <c r="F47" s="10" t="n">
        <v>1500</v>
      </c>
    </row>
    <row r="48" customFormat="false" ht="15" hidden="false" customHeight="false" outlineLevel="0" collapsed="false">
      <c r="A48" s="7" t="s">
        <v>235</v>
      </c>
      <c r="B48" s="7" t="s">
        <v>236</v>
      </c>
      <c r="C48" s="7" t="s">
        <v>37</v>
      </c>
      <c r="D48" s="10" t="n">
        <v>4000</v>
      </c>
      <c r="E48" s="10" t="n">
        <v>2500</v>
      </c>
      <c r="F48" s="10" t="n">
        <v>1500</v>
      </c>
    </row>
    <row r="49" customFormat="false" ht="15" hidden="false" customHeight="false" outlineLevel="0" collapsed="false">
      <c r="A49" s="7" t="s">
        <v>242</v>
      </c>
      <c r="B49" s="7" t="s">
        <v>39</v>
      </c>
      <c r="C49" s="7" t="s">
        <v>33</v>
      </c>
      <c r="D49" s="10" t="n">
        <v>2500</v>
      </c>
      <c r="E49" s="10" t="n">
        <v>1000</v>
      </c>
      <c r="F49" s="10" t="n">
        <v>1500</v>
      </c>
    </row>
    <row r="50" customFormat="false" ht="15" hidden="false" customHeight="false" outlineLevel="0" collapsed="false">
      <c r="A50" s="7" t="s">
        <v>243</v>
      </c>
      <c r="B50" s="7" t="s">
        <v>244</v>
      </c>
      <c r="C50" s="7" t="s">
        <v>33</v>
      </c>
      <c r="D50" s="10" t="n">
        <v>4000</v>
      </c>
      <c r="E50" s="10" t="n">
        <v>2500</v>
      </c>
      <c r="F50" s="10" t="n">
        <v>1500</v>
      </c>
    </row>
    <row r="51" customFormat="false" ht="15" hidden="false" customHeight="false" outlineLevel="0" collapsed="false">
      <c r="A51" s="7" t="s">
        <v>246</v>
      </c>
      <c r="B51" s="7" t="s">
        <v>247</v>
      </c>
      <c r="C51" s="7" t="s">
        <v>40</v>
      </c>
      <c r="D51" s="10" t="n">
        <v>4000</v>
      </c>
      <c r="E51" s="10" t="n">
        <v>2500</v>
      </c>
      <c r="F51" s="10" t="n">
        <v>1500</v>
      </c>
    </row>
    <row r="52" customFormat="false" ht="15" hidden="false" customHeight="false" outlineLevel="0" collapsed="false">
      <c r="A52" s="7" t="s">
        <v>248</v>
      </c>
      <c r="B52" s="7" t="s">
        <v>249</v>
      </c>
      <c r="C52" s="7" t="s">
        <v>40</v>
      </c>
      <c r="D52" s="10" t="n">
        <v>2500</v>
      </c>
      <c r="E52" s="10" t="n">
        <v>1000</v>
      </c>
      <c r="F52" s="10" t="n">
        <v>1500</v>
      </c>
    </row>
    <row r="53" customFormat="false" ht="15" hidden="false" customHeight="false" outlineLevel="0" collapsed="false">
      <c r="A53" s="7" t="s">
        <v>252</v>
      </c>
      <c r="B53" s="7" t="s">
        <v>253</v>
      </c>
      <c r="C53" s="7" t="s">
        <v>29</v>
      </c>
      <c r="D53" s="10" t="n">
        <v>4000</v>
      </c>
      <c r="E53" s="10" t="n">
        <v>2500</v>
      </c>
      <c r="F53" s="10" t="n">
        <v>1500</v>
      </c>
    </row>
    <row r="54" customFormat="false" ht="15" hidden="false" customHeight="false" outlineLevel="0" collapsed="false">
      <c r="A54" s="7" t="s">
        <v>260</v>
      </c>
      <c r="B54" s="7" t="s">
        <v>261</v>
      </c>
      <c r="C54" s="7" t="s">
        <v>37</v>
      </c>
      <c r="D54" s="10" t="n">
        <v>4000</v>
      </c>
      <c r="E54" s="10" t="n">
        <v>2500</v>
      </c>
      <c r="F54" s="10" t="n">
        <v>1500</v>
      </c>
    </row>
    <row r="55" customFormat="false" ht="15" hidden="false" customHeight="false" outlineLevel="0" collapsed="false">
      <c r="A55" s="7" t="s">
        <v>264</v>
      </c>
      <c r="B55" s="7" t="s">
        <v>265</v>
      </c>
      <c r="C55" s="7" t="s">
        <v>40</v>
      </c>
      <c r="D55" s="10" t="n">
        <v>2500</v>
      </c>
      <c r="E55" s="10" t="n">
        <v>1000</v>
      </c>
      <c r="F55" s="10" t="n">
        <v>1500</v>
      </c>
    </row>
    <row r="56" customFormat="false" ht="15" hidden="false" customHeight="false" outlineLevel="0" collapsed="false">
      <c r="A56" s="7" t="s">
        <v>269</v>
      </c>
      <c r="B56" s="7" t="s">
        <v>121</v>
      </c>
      <c r="C56" s="7" t="s">
        <v>29</v>
      </c>
      <c r="D56" s="10" t="n">
        <v>5500</v>
      </c>
      <c r="E56" s="10" t="n">
        <v>4000</v>
      </c>
      <c r="F56" s="10" t="n">
        <v>1500</v>
      </c>
    </row>
    <row r="57" customFormat="false" ht="15" hidden="false" customHeight="false" outlineLevel="0" collapsed="false">
      <c r="A57" s="7" t="s">
        <v>287</v>
      </c>
      <c r="B57" s="7" t="s">
        <v>288</v>
      </c>
      <c r="C57" s="7" t="s">
        <v>51</v>
      </c>
      <c r="D57" s="10" t="n">
        <v>5500</v>
      </c>
      <c r="E57" s="10" t="n">
        <v>4000</v>
      </c>
      <c r="F57" s="10" t="n">
        <v>1500</v>
      </c>
    </row>
    <row r="58" customFormat="false" ht="15" hidden="false" customHeight="false" outlineLevel="0" collapsed="false">
      <c r="A58" s="7" t="s">
        <v>292</v>
      </c>
      <c r="B58" s="7" t="s">
        <v>293</v>
      </c>
      <c r="C58" s="7" t="s">
        <v>51</v>
      </c>
      <c r="D58" s="10" t="n">
        <v>2500</v>
      </c>
      <c r="E58" s="10" t="n">
        <v>1000</v>
      </c>
      <c r="F58" s="10" t="n">
        <v>1500</v>
      </c>
    </row>
    <row r="59" customFormat="false" ht="15" hidden="false" customHeight="false" outlineLevel="0" collapsed="false">
      <c r="A59" s="7" t="s">
        <v>298</v>
      </c>
      <c r="B59" s="7" t="s">
        <v>299</v>
      </c>
      <c r="C59" s="7" t="s">
        <v>51</v>
      </c>
      <c r="D59" s="10" t="n">
        <v>4000</v>
      </c>
      <c r="E59" s="10" t="n">
        <v>2500</v>
      </c>
      <c r="F59" s="10" t="n">
        <v>1500</v>
      </c>
    </row>
    <row r="60" customFormat="false" ht="15" hidden="false" customHeight="false" outlineLevel="0" collapsed="false">
      <c r="A60" s="7" t="s">
        <v>303</v>
      </c>
      <c r="B60" s="7" t="s">
        <v>304</v>
      </c>
      <c r="C60" s="7" t="s">
        <v>37</v>
      </c>
      <c r="D60" s="10" t="n">
        <v>4000</v>
      </c>
      <c r="E60" s="10" t="n">
        <v>2500</v>
      </c>
      <c r="F60" s="10" t="n">
        <v>1500</v>
      </c>
    </row>
    <row r="61" customFormat="false" ht="15" hidden="false" customHeight="false" outlineLevel="0" collapsed="false">
      <c r="A61" s="7" t="s">
        <v>312</v>
      </c>
      <c r="B61" s="7" t="s">
        <v>313</v>
      </c>
      <c r="C61" s="7" t="s">
        <v>51</v>
      </c>
      <c r="D61" s="10" t="n">
        <v>4000</v>
      </c>
      <c r="E61" s="10" t="n">
        <v>2500</v>
      </c>
      <c r="F61" s="10" t="n">
        <v>1500</v>
      </c>
    </row>
    <row r="62" customFormat="false" ht="15" hidden="false" customHeight="false" outlineLevel="0" collapsed="false">
      <c r="A62" s="7" t="s">
        <v>314</v>
      </c>
      <c r="B62" s="7" t="s">
        <v>315</v>
      </c>
      <c r="C62" s="7" t="s">
        <v>37</v>
      </c>
      <c r="D62" s="10" t="n">
        <v>5500</v>
      </c>
      <c r="E62" s="10" t="n">
        <v>4000</v>
      </c>
      <c r="F62" s="10" t="n">
        <v>1500</v>
      </c>
    </row>
    <row r="63" customFormat="false" ht="15" hidden="false" customHeight="false" outlineLevel="0" collapsed="false">
      <c r="A63" s="7" t="s">
        <v>316</v>
      </c>
      <c r="B63" s="7" t="s">
        <v>317</v>
      </c>
      <c r="C63" s="7" t="s">
        <v>33</v>
      </c>
      <c r="D63" s="10" t="n">
        <v>5500</v>
      </c>
      <c r="E63" s="10" t="n">
        <v>4000</v>
      </c>
      <c r="F63" s="10" t="n">
        <v>1500</v>
      </c>
    </row>
    <row r="64" customFormat="false" ht="15" hidden="false" customHeight="false" outlineLevel="0" collapsed="false">
      <c r="A64" s="7" t="s">
        <v>322</v>
      </c>
      <c r="B64" s="7" t="s">
        <v>276</v>
      </c>
      <c r="C64" s="7" t="s">
        <v>51</v>
      </c>
      <c r="D64" s="10" t="n">
        <v>5500</v>
      </c>
      <c r="E64" s="10" t="n">
        <v>4000</v>
      </c>
      <c r="F64" s="10" t="n">
        <v>1500</v>
      </c>
    </row>
    <row r="65" customFormat="false" ht="15" hidden="false" customHeight="false" outlineLevel="0" collapsed="false">
      <c r="A65" s="7" t="s">
        <v>323</v>
      </c>
      <c r="B65" s="7" t="s">
        <v>324</v>
      </c>
      <c r="C65" s="7" t="s">
        <v>33</v>
      </c>
      <c r="D65" s="10" t="n">
        <v>4000</v>
      </c>
      <c r="E65" s="10" t="n">
        <v>2500</v>
      </c>
      <c r="F65" s="10" t="n">
        <v>1500</v>
      </c>
    </row>
    <row r="66" customFormat="false" ht="15" hidden="false" customHeight="false" outlineLevel="0" collapsed="false">
      <c r="A66" s="7" t="s">
        <v>325</v>
      </c>
      <c r="B66" s="7" t="s">
        <v>184</v>
      </c>
      <c r="C66" s="7" t="s">
        <v>37</v>
      </c>
      <c r="D66" s="10" t="n">
        <v>4000</v>
      </c>
      <c r="E66" s="10" t="n">
        <v>2500</v>
      </c>
      <c r="F66" s="10" t="n">
        <v>1500</v>
      </c>
    </row>
    <row r="67" customFormat="false" ht="15" hidden="false" customHeight="false" outlineLevel="0" collapsed="false">
      <c r="A67" s="7" t="s">
        <v>326</v>
      </c>
      <c r="B67" s="7" t="s">
        <v>204</v>
      </c>
      <c r="C67" s="7" t="s">
        <v>51</v>
      </c>
      <c r="D67" s="10" t="n">
        <v>4000</v>
      </c>
      <c r="E67" s="10" t="n">
        <v>2500</v>
      </c>
      <c r="F67" s="10" t="n">
        <v>1500</v>
      </c>
    </row>
    <row r="68" customFormat="false" ht="15" hidden="false" customHeight="false" outlineLevel="0" collapsed="false">
      <c r="A68" s="7" t="s">
        <v>330</v>
      </c>
      <c r="B68" s="7" t="s">
        <v>331</v>
      </c>
      <c r="C68" s="7" t="s">
        <v>33</v>
      </c>
      <c r="D68" s="10" t="n">
        <v>2500</v>
      </c>
      <c r="E68" s="10" t="n">
        <v>1000</v>
      </c>
      <c r="F68" s="10" t="n">
        <v>1500</v>
      </c>
    </row>
    <row r="69" customFormat="false" ht="15" hidden="false" customHeight="false" outlineLevel="0" collapsed="false">
      <c r="A69" s="7" t="s">
        <v>336</v>
      </c>
      <c r="B69" s="7" t="s">
        <v>337</v>
      </c>
      <c r="C69" s="7" t="s">
        <v>37</v>
      </c>
      <c r="D69" s="10" t="n">
        <v>4000</v>
      </c>
      <c r="E69" s="10" t="n">
        <v>2500</v>
      </c>
      <c r="F69" s="10" t="n">
        <v>1500</v>
      </c>
    </row>
    <row r="70" customFormat="false" ht="15" hidden="false" customHeight="false" outlineLevel="0" collapsed="false">
      <c r="A70" s="7" t="s">
        <v>338</v>
      </c>
      <c r="B70" s="7" t="s">
        <v>339</v>
      </c>
      <c r="C70" s="7" t="s">
        <v>37</v>
      </c>
      <c r="D70" s="10" t="n">
        <v>2500</v>
      </c>
      <c r="E70" s="10" t="n">
        <v>1000</v>
      </c>
      <c r="F70" s="10" t="n">
        <v>1500</v>
      </c>
    </row>
    <row r="71" customFormat="false" ht="15" hidden="false" customHeight="false" outlineLevel="0" collapsed="false">
      <c r="A71" s="7" t="s">
        <v>346</v>
      </c>
      <c r="B71" s="7" t="s">
        <v>172</v>
      </c>
      <c r="C71" s="7" t="s">
        <v>40</v>
      </c>
      <c r="D71" s="10" t="n">
        <v>5500</v>
      </c>
      <c r="E71" s="10" t="n">
        <v>4000</v>
      </c>
      <c r="F71" s="10" t="n">
        <v>1500</v>
      </c>
    </row>
    <row r="72" customFormat="false" ht="15" hidden="false" customHeight="false" outlineLevel="0" collapsed="false">
      <c r="A72" s="7" t="s">
        <v>350</v>
      </c>
      <c r="B72" s="7" t="s">
        <v>32</v>
      </c>
      <c r="C72" s="7" t="s">
        <v>33</v>
      </c>
      <c r="D72" s="10" t="n">
        <v>2500</v>
      </c>
      <c r="E72" s="10" t="n">
        <v>1000</v>
      </c>
      <c r="F72" s="10" t="n">
        <v>1500</v>
      </c>
    </row>
    <row r="73" customFormat="false" ht="15" hidden="false" customHeight="false" outlineLevel="0" collapsed="false">
      <c r="A73" s="7" t="s">
        <v>27</v>
      </c>
      <c r="B73" s="7" t="s">
        <v>28</v>
      </c>
      <c r="C73" s="7" t="s">
        <v>29</v>
      </c>
      <c r="D73" s="10" t="n">
        <v>2500</v>
      </c>
      <c r="E73" s="10" t="n">
        <v>1500</v>
      </c>
      <c r="F73" s="10" t="n">
        <v>1000</v>
      </c>
    </row>
    <row r="74" customFormat="false" ht="15" hidden="false" customHeight="false" outlineLevel="0" collapsed="false">
      <c r="A74" s="7" t="s">
        <v>67</v>
      </c>
      <c r="B74" s="7" t="s">
        <v>68</v>
      </c>
      <c r="C74" s="7" t="s">
        <v>37</v>
      </c>
      <c r="D74" s="10" t="n">
        <v>1000</v>
      </c>
      <c r="E74" s="10" t="n">
        <v>0</v>
      </c>
      <c r="F74" s="10" t="n">
        <v>1000</v>
      </c>
    </row>
    <row r="75" customFormat="false" ht="15" hidden="false" customHeight="false" outlineLevel="0" collapsed="false">
      <c r="A75" s="7" t="s">
        <v>77</v>
      </c>
      <c r="B75" s="7" t="s">
        <v>78</v>
      </c>
      <c r="C75" s="7" t="s">
        <v>40</v>
      </c>
      <c r="D75" s="10" t="n">
        <v>2500</v>
      </c>
      <c r="E75" s="10" t="n">
        <v>1500</v>
      </c>
      <c r="F75" s="10" t="n">
        <v>1000</v>
      </c>
    </row>
    <row r="76" customFormat="false" ht="15" hidden="false" customHeight="false" outlineLevel="0" collapsed="false">
      <c r="A76" s="7" t="s">
        <v>96</v>
      </c>
      <c r="B76" s="7" t="s">
        <v>97</v>
      </c>
      <c r="C76" s="7" t="s">
        <v>51</v>
      </c>
      <c r="D76" s="10" t="n">
        <v>2500</v>
      </c>
      <c r="E76" s="10" t="n">
        <v>1500</v>
      </c>
      <c r="F76" s="10" t="n">
        <v>1000</v>
      </c>
    </row>
    <row r="77" customFormat="false" ht="15" hidden="false" customHeight="false" outlineLevel="0" collapsed="false">
      <c r="A77" s="7" t="s">
        <v>106</v>
      </c>
      <c r="B77" s="7" t="s">
        <v>107</v>
      </c>
      <c r="C77" s="7" t="s">
        <v>40</v>
      </c>
      <c r="D77" s="10" t="n">
        <v>1000</v>
      </c>
      <c r="E77" s="10" t="n">
        <v>0</v>
      </c>
      <c r="F77" s="10" t="n">
        <v>1000</v>
      </c>
    </row>
    <row r="78" customFormat="false" ht="15" hidden="false" customHeight="false" outlineLevel="0" collapsed="false">
      <c r="A78" s="7" t="s">
        <v>142</v>
      </c>
      <c r="B78" s="7" t="s">
        <v>143</v>
      </c>
      <c r="C78" s="7" t="s">
        <v>51</v>
      </c>
      <c r="D78" s="10" t="n">
        <v>2500</v>
      </c>
      <c r="E78" s="10" t="n">
        <v>1500</v>
      </c>
      <c r="F78" s="10" t="n">
        <v>1000</v>
      </c>
    </row>
    <row r="79" customFormat="false" ht="15" hidden="false" customHeight="false" outlineLevel="0" collapsed="false">
      <c r="A79" s="7" t="s">
        <v>148</v>
      </c>
      <c r="B79" s="7" t="s">
        <v>42</v>
      </c>
      <c r="C79" s="7" t="s">
        <v>40</v>
      </c>
      <c r="D79" s="10" t="n">
        <v>1000</v>
      </c>
      <c r="E79" s="10" t="n">
        <v>0</v>
      </c>
      <c r="F79" s="10" t="n">
        <v>1000</v>
      </c>
    </row>
    <row r="80" customFormat="false" ht="15" hidden="false" customHeight="false" outlineLevel="0" collapsed="false">
      <c r="A80" s="7" t="s">
        <v>175</v>
      </c>
      <c r="B80" s="7" t="s">
        <v>176</v>
      </c>
      <c r="C80" s="7" t="s">
        <v>29</v>
      </c>
      <c r="D80" s="10" t="n">
        <v>1000</v>
      </c>
      <c r="E80" s="10" t="n">
        <v>0</v>
      </c>
      <c r="F80" s="10" t="n">
        <v>1000</v>
      </c>
    </row>
    <row r="81" customFormat="false" ht="15" hidden="false" customHeight="false" outlineLevel="0" collapsed="false">
      <c r="A81" s="7" t="s">
        <v>180</v>
      </c>
      <c r="B81" s="7" t="s">
        <v>80</v>
      </c>
      <c r="C81" s="7" t="s">
        <v>29</v>
      </c>
      <c r="D81" s="10" t="n">
        <v>2500</v>
      </c>
      <c r="E81" s="10" t="n">
        <v>1500</v>
      </c>
      <c r="F81" s="10" t="n">
        <v>1000</v>
      </c>
    </row>
    <row r="82" customFormat="false" ht="15" hidden="false" customHeight="false" outlineLevel="0" collapsed="false">
      <c r="A82" s="7" t="s">
        <v>197</v>
      </c>
      <c r="B82" s="7" t="s">
        <v>198</v>
      </c>
      <c r="C82" s="7" t="s">
        <v>40</v>
      </c>
      <c r="D82" s="10" t="n">
        <v>1000</v>
      </c>
      <c r="E82" s="10" t="n">
        <v>0</v>
      </c>
      <c r="F82" s="10" t="n">
        <v>1000</v>
      </c>
    </row>
    <row r="83" customFormat="false" ht="15" hidden="false" customHeight="false" outlineLevel="0" collapsed="false">
      <c r="A83" s="7" t="s">
        <v>209</v>
      </c>
      <c r="B83" s="7" t="s">
        <v>195</v>
      </c>
      <c r="C83" s="7" t="s">
        <v>37</v>
      </c>
      <c r="D83" s="10" t="n">
        <v>2500</v>
      </c>
      <c r="E83" s="10" t="n">
        <v>1500</v>
      </c>
      <c r="F83" s="10" t="n">
        <v>1000</v>
      </c>
    </row>
    <row r="84" customFormat="false" ht="15" hidden="false" customHeight="false" outlineLevel="0" collapsed="false">
      <c r="A84" s="7" t="s">
        <v>224</v>
      </c>
      <c r="B84" s="7" t="s">
        <v>225</v>
      </c>
      <c r="C84" s="7" t="s">
        <v>37</v>
      </c>
      <c r="D84" s="10" t="n">
        <v>1000</v>
      </c>
      <c r="E84" s="10" t="n">
        <v>0</v>
      </c>
      <c r="F84" s="10" t="n">
        <v>1000</v>
      </c>
    </row>
    <row r="85" customFormat="false" ht="15" hidden="false" customHeight="false" outlineLevel="0" collapsed="false">
      <c r="A85" s="7" t="s">
        <v>229</v>
      </c>
      <c r="B85" s="7" t="s">
        <v>168</v>
      </c>
      <c r="C85" s="7" t="s">
        <v>40</v>
      </c>
      <c r="D85" s="10" t="n">
        <v>2500</v>
      </c>
      <c r="E85" s="10" t="n">
        <v>1500</v>
      </c>
      <c r="F85" s="10" t="n">
        <v>1000</v>
      </c>
    </row>
    <row r="86" customFormat="false" ht="15" hidden="false" customHeight="false" outlineLevel="0" collapsed="false">
      <c r="A86" s="7" t="s">
        <v>275</v>
      </c>
      <c r="B86" s="7" t="s">
        <v>276</v>
      </c>
      <c r="C86" s="7" t="s">
        <v>29</v>
      </c>
      <c r="D86" s="10" t="n">
        <v>1000</v>
      </c>
      <c r="E86" s="10" t="n">
        <v>0</v>
      </c>
      <c r="F86" s="10" t="n">
        <v>1000</v>
      </c>
    </row>
    <row r="87" customFormat="false" ht="15" hidden="false" customHeight="false" outlineLevel="0" collapsed="false">
      <c r="A87" s="7" t="s">
        <v>277</v>
      </c>
      <c r="B87" s="7" t="s">
        <v>202</v>
      </c>
      <c r="C87" s="7" t="s">
        <v>29</v>
      </c>
      <c r="D87" s="10" t="n">
        <v>1000</v>
      </c>
      <c r="E87" s="10" t="n">
        <v>0</v>
      </c>
      <c r="F87" s="10" t="n">
        <v>1000</v>
      </c>
    </row>
    <row r="88" customFormat="false" ht="15" hidden="false" customHeight="false" outlineLevel="0" collapsed="false">
      <c r="A88" s="7" t="s">
        <v>285</v>
      </c>
      <c r="B88" s="7" t="s">
        <v>286</v>
      </c>
      <c r="C88" s="7" t="s">
        <v>33</v>
      </c>
      <c r="D88" s="10" t="n">
        <v>2500</v>
      </c>
      <c r="E88" s="10" t="n">
        <v>1500</v>
      </c>
      <c r="F88" s="10" t="n">
        <v>1000</v>
      </c>
    </row>
    <row r="89" customFormat="false" ht="15" hidden="false" customHeight="false" outlineLevel="0" collapsed="false">
      <c r="A89" s="7" t="s">
        <v>291</v>
      </c>
      <c r="B89" s="7" t="s">
        <v>123</v>
      </c>
      <c r="C89" s="7" t="s">
        <v>51</v>
      </c>
      <c r="D89" s="10" t="n">
        <v>2500</v>
      </c>
      <c r="E89" s="10" t="n">
        <v>1500</v>
      </c>
      <c r="F89" s="10" t="n">
        <v>1000</v>
      </c>
    </row>
    <row r="90" customFormat="false" ht="15" hidden="false" customHeight="false" outlineLevel="0" collapsed="false">
      <c r="A90" s="7" t="s">
        <v>302</v>
      </c>
      <c r="B90" s="7" t="s">
        <v>249</v>
      </c>
      <c r="C90" s="7" t="s">
        <v>40</v>
      </c>
      <c r="D90" s="10" t="n">
        <v>2500</v>
      </c>
      <c r="E90" s="10" t="n">
        <v>1500</v>
      </c>
      <c r="F90" s="10" t="n">
        <v>1000</v>
      </c>
    </row>
    <row r="91" customFormat="false" ht="15" hidden="false" customHeight="false" outlineLevel="0" collapsed="false">
      <c r="A91" s="7" t="s">
        <v>307</v>
      </c>
      <c r="B91" s="7" t="s">
        <v>308</v>
      </c>
      <c r="C91" s="7" t="s">
        <v>33</v>
      </c>
      <c r="D91" s="10" t="n">
        <v>1000</v>
      </c>
      <c r="E91" s="10" t="n">
        <v>0</v>
      </c>
      <c r="F91" s="10" t="n">
        <v>1000</v>
      </c>
    </row>
    <row r="92" customFormat="false" ht="15" hidden="false" customHeight="false" outlineLevel="0" collapsed="false">
      <c r="A92" s="7" t="s">
        <v>340</v>
      </c>
      <c r="B92" s="7" t="s">
        <v>341</v>
      </c>
      <c r="C92" s="7" t="s">
        <v>40</v>
      </c>
      <c r="D92" s="10" t="n">
        <v>1000</v>
      </c>
      <c r="E92" s="10" t="n">
        <v>0</v>
      </c>
      <c r="F92" s="10" t="n">
        <v>1000</v>
      </c>
    </row>
  </sheetData>
  <autoFilter ref="A3:F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2591</v>
      </c>
    </row>
    <row r="3" customFormat="false" ht="30" hidden="false" customHeight="true" outlineLevel="0" collapsed="false">
      <c r="A3" s="3" t="s">
        <v>374</v>
      </c>
      <c r="B3" s="3" t="s">
        <v>2586</v>
      </c>
      <c r="C3" s="3" t="s">
        <v>2592</v>
      </c>
      <c r="D3" s="3" t="s">
        <v>2589</v>
      </c>
      <c r="E3" s="3" t="s">
        <v>2593</v>
      </c>
      <c r="F3" s="3" t="s">
        <v>2594</v>
      </c>
      <c r="G3" s="3" t="s">
        <v>2595</v>
      </c>
    </row>
    <row r="4" customFormat="false" ht="15" hidden="false" customHeight="false" outlineLevel="0" collapsed="false">
      <c r="A4" s="7" t="s">
        <v>173</v>
      </c>
      <c r="B4" s="7" t="s">
        <v>174</v>
      </c>
      <c r="C4" s="7" t="s">
        <v>34</v>
      </c>
      <c r="D4" s="10" t="n">
        <v>0</v>
      </c>
      <c r="E4" s="10" t="n">
        <v>26800</v>
      </c>
      <c r="F4" s="10" t="n">
        <v>-26800</v>
      </c>
      <c r="G4" s="7" t="n">
        <v>2</v>
      </c>
    </row>
    <row r="5" customFormat="false" ht="15" hidden="false" customHeight="false" outlineLevel="0" collapsed="false">
      <c r="A5" s="7" t="s">
        <v>245</v>
      </c>
      <c r="B5" s="7" t="s">
        <v>182</v>
      </c>
      <c r="C5" s="7" t="s">
        <v>34</v>
      </c>
      <c r="D5" s="10" t="n">
        <v>0</v>
      </c>
      <c r="E5" s="10" t="n">
        <v>25000</v>
      </c>
      <c r="F5" s="10" t="n">
        <v>-25000</v>
      </c>
      <c r="G5" s="7" t="n">
        <v>1</v>
      </c>
    </row>
    <row r="6" customFormat="false" ht="15" hidden="false" customHeight="false" outlineLevel="0" collapsed="false">
      <c r="A6" s="7" t="s">
        <v>124</v>
      </c>
      <c r="B6" s="7" t="s">
        <v>125</v>
      </c>
      <c r="C6" s="7" t="s">
        <v>30</v>
      </c>
      <c r="D6" s="10" t="n">
        <v>1000</v>
      </c>
      <c r="E6" s="10" t="n">
        <v>25000</v>
      </c>
      <c r="F6" s="10" t="n">
        <v>-24000</v>
      </c>
      <c r="G6" s="7" t="n">
        <v>1</v>
      </c>
    </row>
    <row r="7" customFormat="false" ht="15" hidden="false" customHeight="false" outlineLevel="0" collapsed="false">
      <c r="A7" s="7" t="s">
        <v>185</v>
      </c>
      <c r="B7" s="7" t="s">
        <v>184</v>
      </c>
      <c r="C7" s="7" t="s">
        <v>30</v>
      </c>
      <c r="D7" s="10" t="n">
        <v>1000</v>
      </c>
      <c r="E7" s="10" t="n">
        <v>25000</v>
      </c>
      <c r="F7" s="10" t="n">
        <v>-24000</v>
      </c>
      <c r="G7" s="7" t="n">
        <v>1</v>
      </c>
    </row>
    <row r="8" customFormat="false" ht="15" hidden="false" customHeight="false" outlineLevel="0" collapsed="false">
      <c r="A8" s="7" t="s">
        <v>102</v>
      </c>
      <c r="B8" s="7" t="s">
        <v>103</v>
      </c>
      <c r="C8" s="7" t="s">
        <v>30</v>
      </c>
      <c r="D8" s="10" t="n">
        <v>4000</v>
      </c>
      <c r="E8" s="10" t="n">
        <v>27000</v>
      </c>
      <c r="F8" s="10" t="n">
        <v>-23000</v>
      </c>
      <c r="G8" s="7" t="n">
        <v>3</v>
      </c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30</v>
      </c>
      <c r="D9" s="10" t="n">
        <v>2500</v>
      </c>
      <c r="E9" s="10" t="n">
        <v>25000</v>
      </c>
      <c r="F9" s="10" t="n">
        <v>-22500</v>
      </c>
      <c r="G9" s="7" t="n">
        <v>1</v>
      </c>
    </row>
    <row r="10" customFormat="false" ht="15" hidden="false" customHeight="false" outlineLevel="0" collapsed="false">
      <c r="A10" s="7" t="s">
        <v>289</v>
      </c>
      <c r="B10" s="7" t="s">
        <v>290</v>
      </c>
      <c r="C10" s="7" t="s">
        <v>30</v>
      </c>
      <c r="D10" s="10" t="n">
        <v>2500</v>
      </c>
      <c r="E10" s="10" t="n">
        <v>25000</v>
      </c>
      <c r="F10" s="10" t="n">
        <v>-22500</v>
      </c>
      <c r="G10" s="7" t="n">
        <v>1</v>
      </c>
    </row>
    <row r="11" customFormat="false" ht="15" hidden="false" customHeight="false" outlineLevel="0" collapsed="false">
      <c r="A11" s="7" t="s">
        <v>116</v>
      </c>
      <c r="B11" s="7" t="s">
        <v>117</v>
      </c>
      <c r="C11" s="7" t="s">
        <v>30</v>
      </c>
      <c r="D11" s="10" t="n">
        <v>4000</v>
      </c>
      <c r="E11" s="10" t="n">
        <v>25000</v>
      </c>
      <c r="F11" s="10" t="n">
        <v>-21000</v>
      </c>
      <c r="G11" s="7" t="n">
        <v>1</v>
      </c>
    </row>
    <row r="12" customFormat="false" ht="15" hidden="false" customHeight="false" outlineLevel="0" collapsed="false">
      <c r="A12" s="7" t="s">
        <v>196</v>
      </c>
      <c r="B12" s="7" t="s">
        <v>62</v>
      </c>
      <c r="C12" s="7" t="s">
        <v>30</v>
      </c>
      <c r="D12" s="10" t="n">
        <v>4000</v>
      </c>
      <c r="E12" s="10" t="n">
        <v>25000</v>
      </c>
      <c r="F12" s="10" t="n">
        <v>-21000</v>
      </c>
      <c r="G12" s="7" t="n">
        <v>1</v>
      </c>
    </row>
    <row r="13" customFormat="false" ht="15" hidden="false" customHeight="false" outlineLevel="0" collapsed="false">
      <c r="A13" s="7" t="s">
        <v>98</v>
      </c>
      <c r="B13" s="7" t="s">
        <v>99</v>
      </c>
      <c r="C13" s="7" t="s">
        <v>34</v>
      </c>
      <c r="D13" s="10" t="n">
        <v>0</v>
      </c>
      <c r="E13" s="10" t="n">
        <v>3600</v>
      </c>
      <c r="F13" s="10" t="n">
        <v>-3600</v>
      </c>
      <c r="G13" s="7" t="n">
        <v>2</v>
      </c>
    </row>
    <row r="14" customFormat="false" ht="15" hidden="false" customHeight="false" outlineLevel="0" collapsed="false">
      <c r="A14" s="7" t="s">
        <v>349</v>
      </c>
      <c r="B14" s="7" t="s">
        <v>123</v>
      </c>
      <c r="C14" s="7" t="s">
        <v>30</v>
      </c>
      <c r="D14" s="10" t="n">
        <v>1000</v>
      </c>
      <c r="E14" s="10" t="n">
        <v>3600</v>
      </c>
      <c r="F14" s="10" t="n">
        <v>-2600</v>
      </c>
      <c r="G14" s="7" t="n">
        <v>2</v>
      </c>
    </row>
    <row r="15" customFormat="false" ht="15" hidden="false" customHeight="false" outlineLevel="0" collapsed="false">
      <c r="A15" s="7" t="s">
        <v>85</v>
      </c>
      <c r="B15" s="7" t="s">
        <v>86</v>
      </c>
      <c r="C15" s="7" t="s">
        <v>30</v>
      </c>
      <c r="D15" s="10" t="n">
        <v>1000</v>
      </c>
      <c r="E15" s="10" t="n">
        <v>2800</v>
      </c>
      <c r="F15" s="10" t="n">
        <v>-1800</v>
      </c>
      <c r="G15" s="7" t="n">
        <v>2</v>
      </c>
    </row>
    <row r="16" customFormat="false" ht="15" hidden="false" customHeight="false" outlineLevel="0" collapsed="false">
      <c r="A16" s="7" t="s">
        <v>148</v>
      </c>
      <c r="B16" s="7" t="s">
        <v>42</v>
      </c>
      <c r="C16" s="7" t="s">
        <v>30</v>
      </c>
      <c r="D16" s="10" t="n">
        <v>0</v>
      </c>
      <c r="E16" s="10" t="n">
        <v>1500</v>
      </c>
      <c r="F16" s="10" t="n">
        <v>-1500</v>
      </c>
      <c r="G16" s="7" t="n">
        <v>2</v>
      </c>
    </row>
    <row r="17" customFormat="false" ht="15" hidden="false" customHeight="false" outlineLevel="0" collapsed="false">
      <c r="A17" s="7" t="s">
        <v>275</v>
      </c>
      <c r="B17" s="7" t="s">
        <v>276</v>
      </c>
      <c r="C17" s="7" t="s">
        <v>30</v>
      </c>
      <c r="D17" s="10" t="n">
        <v>0</v>
      </c>
      <c r="E17" s="10" t="n">
        <v>1500</v>
      </c>
      <c r="F17" s="10" t="n">
        <v>-1500</v>
      </c>
      <c r="G17" s="7" t="n">
        <v>2</v>
      </c>
    </row>
    <row r="18" customFormat="false" ht="15" hidden="false" customHeight="false" outlineLevel="0" collapsed="false">
      <c r="A18" s="7" t="s">
        <v>96</v>
      </c>
      <c r="B18" s="7" t="s">
        <v>97</v>
      </c>
      <c r="C18" s="7" t="s">
        <v>30</v>
      </c>
      <c r="D18" s="10" t="n">
        <v>1500</v>
      </c>
      <c r="E18" s="10" t="n">
        <v>2800</v>
      </c>
      <c r="F18" s="10" t="n">
        <v>-1300</v>
      </c>
      <c r="G18" s="7" t="n">
        <v>2</v>
      </c>
    </row>
    <row r="19" customFormat="false" ht="15" hidden="false" customHeight="false" outlineLevel="0" collapsed="false">
      <c r="A19" s="7" t="s">
        <v>151</v>
      </c>
      <c r="B19" s="7" t="s">
        <v>152</v>
      </c>
      <c r="C19" s="7" t="s">
        <v>30</v>
      </c>
      <c r="D19" s="10" t="n">
        <v>1000</v>
      </c>
      <c r="E19" s="10" t="n">
        <v>2300</v>
      </c>
      <c r="F19" s="10" t="n">
        <v>-1300</v>
      </c>
      <c r="G19" s="7" t="n">
        <v>2</v>
      </c>
    </row>
    <row r="20" customFormat="false" ht="15" hidden="false" customHeight="false" outlineLevel="0" collapsed="false">
      <c r="A20" s="7" t="s">
        <v>309</v>
      </c>
      <c r="B20" s="7" t="s">
        <v>259</v>
      </c>
      <c r="C20" s="7" t="s">
        <v>30</v>
      </c>
      <c r="D20" s="10" t="n">
        <v>2500</v>
      </c>
      <c r="E20" s="10" t="n">
        <v>3600</v>
      </c>
      <c r="F20" s="10" t="n">
        <v>-1100</v>
      </c>
      <c r="G20" s="7" t="n">
        <v>2</v>
      </c>
    </row>
    <row r="21" customFormat="false" ht="15" hidden="false" customHeight="false" outlineLevel="0" collapsed="false">
      <c r="A21" s="7" t="s">
        <v>197</v>
      </c>
      <c r="B21" s="7" t="s">
        <v>198</v>
      </c>
      <c r="C21" s="7" t="s">
        <v>30</v>
      </c>
      <c r="D21" s="10" t="n">
        <v>0</v>
      </c>
      <c r="E21" s="10" t="n">
        <v>1000</v>
      </c>
      <c r="F21" s="10" t="n">
        <v>-1000</v>
      </c>
      <c r="G21" s="7" t="n">
        <v>1</v>
      </c>
    </row>
    <row r="22" customFormat="false" ht="15" hidden="false" customHeight="false" outlineLevel="0" collapsed="false">
      <c r="A22" s="7" t="s">
        <v>63</v>
      </c>
      <c r="B22" s="7" t="s">
        <v>64</v>
      </c>
      <c r="C22" s="7" t="s">
        <v>30</v>
      </c>
      <c r="D22" s="10" t="n">
        <v>1000</v>
      </c>
      <c r="E22" s="10" t="n">
        <v>1800</v>
      </c>
      <c r="F22" s="10" t="n">
        <v>-800</v>
      </c>
      <c r="G22" s="7" t="n">
        <v>1</v>
      </c>
    </row>
    <row r="23" customFormat="false" ht="15" hidden="false" customHeight="false" outlineLevel="0" collapsed="false">
      <c r="A23" s="7" t="s">
        <v>65</v>
      </c>
      <c r="B23" s="7" t="s">
        <v>66</v>
      </c>
      <c r="C23" s="7" t="s">
        <v>30</v>
      </c>
      <c r="D23" s="10" t="n">
        <v>1000</v>
      </c>
      <c r="E23" s="10" t="n">
        <v>1800</v>
      </c>
      <c r="F23" s="10" t="n">
        <v>-800</v>
      </c>
      <c r="G23" s="7" t="n">
        <v>1</v>
      </c>
    </row>
    <row r="24" customFormat="false" ht="15" hidden="false" customHeight="false" outlineLevel="0" collapsed="false">
      <c r="A24" s="7" t="s">
        <v>216</v>
      </c>
      <c r="B24" s="7" t="s">
        <v>217</v>
      </c>
      <c r="C24" s="7" t="s">
        <v>30</v>
      </c>
      <c r="D24" s="10" t="n">
        <v>1000</v>
      </c>
      <c r="E24" s="10" t="n">
        <v>1800</v>
      </c>
      <c r="F24" s="10" t="n">
        <v>-800</v>
      </c>
      <c r="G24" s="7" t="n">
        <v>1</v>
      </c>
    </row>
    <row r="25" customFormat="false" ht="15" hidden="false" customHeight="false" outlineLevel="0" collapsed="false">
      <c r="A25" s="7" t="s">
        <v>242</v>
      </c>
      <c r="B25" s="7" t="s">
        <v>39</v>
      </c>
      <c r="C25" s="7" t="s">
        <v>30</v>
      </c>
      <c r="D25" s="10" t="n">
        <v>1000</v>
      </c>
      <c r="E25" s="10" t="n">
        <v>1800</v>
      </c>
      <c r="F25" s="10" t="n">
        <v>-800</v>
      </c>
      <c r="G25" s="7" t="n">
        <v>1</v>
      </c>
    </row>
    <row r="26" customFormat="false" ht="15" hidden="false" customHeight="false" outlineLevel="0" collapsed="false">
      <c r="A26" s="7" t="s">
        <v>238</v>
      </c>
      <c r="B26" s="7" t="s">
        <v>239</v>
      </c>
      <c r="C26" s="7" t="s">
        <v>30</v>
      </c>
      <c r="D26" s="10" t="n">
        <v>1000</v>
      </c>
      <c r="E26" s="10" t="n">
        <v>1500</v>
      </c>
      <c r="F26" s="10" t="n">
        <v>-500</v>
      </c>
      <c r="G26" s="7" t="n">
        <v>2</v>
      </c>
    </row>
    <row r="27" customFormat="false" ht="15" hidden="false" customHeight="false" outlineLevel="0" collapsed="false">
      <c r="A27" s="7" t="s">
        <v>254</v>
      </c>
      <c r="B27" s="7" t="s">
        <v>255</v>
      </c>
      <c r="C27" s="7" t="s">
        <v>30</v>
      </c>
      <c r="D27" s="10" t="n">
        <v>1000</v>
      </c>
      <c r="E27" s="10" t="n">
        <v>1500</v>
      </c>
      <c r="F27" s="10" t="n">
        <v>-500</v>
      </c>
      <c r="G27" s="7" t="n">
        <v>2</v>
      </c>
    </row>
    <row r="28" customFormat="false" ht="15" hidden="false" customHeight="false" outlineLevel="0" collapsed="false">
      <c r="A28" s="7" t="s">
        <v>340</v>
      </c>
      <c r="B28" s="7" t="s">
        <v>341</v>
      </c>
      <c r="C28" s="7" t="s">
        <v>30</v>
      </c>
      <c r="D28" s="10" t="n">
        <v>0</v>
      </c>
      <c r="E28" s="10" t="n">
        <v>500</v>
      </c>
      <c r="F28" s="10" t="n">
        <v>-500</v>
      </c>
      <c r="G28" s="7" t="n">
        <v>1</v>
      </c>
    </row>
    <row r="29" customFormat="false" ht="15" hidden="false" customHeight="false" outlineLevel="0" collapsed="false">
      <c r="A29" s="7" t="s">
        <v>92</v>
      </c>
      <c r="B29" s="7" t="s">
        <v>93</v>
      </c>
      <c r="C29" s="7" t="s">
        <v>30</v>
      </c>
      <c r="D29" s="10" t="n">
        <v>2500</v>
      </c>
      <c r="E29" s="10" t="n">
        <v>2800</v>
      </c>
      <c r="F29" s="10" t="n">
        <v>-300</v>
      </c>
      <c r="G29" s="7" t="n">
        <v>2</v>
      </c>
    </row>
    <row r="30" customFormat="false" ht="15" hidden="false" customHeight="false" outlineLevel="0" collapsed="false">
      <c r="A30" s="7" t="s">
        <v>285</v>
      </c>
      <c r="B30" s="7" t="s">
        <v>286</v>
      </c>
      <c r="C30" s="7" t="s">
        <v>30</v>
      </c>
      <c r="D30" s="10" t="n">
        <v>1500</v>
      </c>
      <c r="E30" s="10" t="n">
        <v>1800</v>
      </c>
      <c r="F30" s="10" t="n">
        <v>-300</v>
      </c>
      <c r="G30" s="7" t="n">
        <v>1</v>
      </c>
    </row>
    <row r="31" customFormat="false" ht="15" hidden="false" customHeight="false" outlineLevel="0" collapsed="false">
      <c r="A31" s="7" t="s">
        <v>296</v>
      </c>
      <c r="B31" s="7" t="s">
        <v>297</v>
      </c>
      <c r="C31" s="7" t="s">
        <v>30</v>
      </c>
      <c r="D31" s="10" t="n">
        <v>2500</v>
      </c>
      <c r="E31" s="10" t="n">
        <v>2800</v>
      </c>
      <c r="F31" s="10" t="n">
        <v>-300</v>
      </c>
      <c r="G31" s="7" t="n">
        <v>2</v>
      </c>
    </row>
  </sheetData>
  <autoFilter ref="A3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2026-10-13T15:12:56Z</dcterms:created>
  <dc:creator>openpyxl</dc:creator>
  <dc:description/>
  <dc:language>en-US</dc:language>
  <cp:lastModifiedBy/>
  <dcterms:modified xsi:type="dcterms:W3CDTF">2026-10-13T15:12:56Z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